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d866cbcd660c7a18/Pictures/Documents/"/>
    </mc:Choice>
  </mc:AlternateContent>
  <xr:revisionPtr revIDLastSave="787" documentId="8_{0A42694A-A091-4C15-B5DE-7F59B1DC327C}" xr6:coauthVersionLast="47" xr6:coauthVersionMax="47" xr10:uidLastSave="{4B785CF0-E999-4827-AB52-E59ADB59467C}"/>
  <bookViews>
    <workbookView xWindow="-108" yWindow="-108" windowWidth="23256" windowHeight="12456" activeTab="2" xr2:uid="{B890517D-47AF-4D4E-98FD-CC9924B03998}"/>
  </bookViews>
  <sheets>
    <sheet name="Sales Data Set" sheetId="1" r:id="rId1"/>
    <sheet name="KPI_calculation" sheetId="2" r:id="rId2"/>
    <sheet name="Dashboard" sheetId="3" r:id="rId3"/>
  </sheets>
  <definedNames>
    <definedName name="Order_ID">'Sales Data Set'!$A:$A</definedName>
    <definedName name="Profit">'Sales Data Set'!$K:$K</definedName>
    <definedName name="Sales_Data">'Sales Data Set'!$A$1:$O$101</definedName>
    <definedName name="Slicer_Category">#N/A</definedName>
    <definedName name="Slicer_Month">#N/A</definedName>
    <definedName name="Slicer_Region">#N/A</definedName>
    <definedName name="Slicer_Sales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2" i="1"/>
  <c r="B7" i="2"/>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E3" i="1" a="1"/>
  <c r="E3" i="1" s="1"/>
  <c r="F3" i="1" s="1" a="1"/>
  <c r="F3" i="1" s="1"/>
  <c r="E4" i="1" a="1"/>
  <c r="E4" i="1" s="1"/>
  <c r="F4" i="1" s="1" a="1"/>
  <c r="F4" i="1" s="1"/>
  <c r="E5" i="1" a="1"/>
  <c r="E5" i="1" s="1"/>
  <c r="F5" i="1" s="1" a="1"/>
  <c r="F5" i="1" s="1"/>
  <c r="E6" i="1" a="1"/>
  <c r="E6" i="1" s="1"/>
  <c r="F6" i="1" s="1" a="1"/>
  <c r="F6" i="1" s="1"/>
  <c r="E7" i="1" a="1"/>
  <c r="E7" i="1" s="1"/>
  <c r="F7" i="1" s="1" a="1"/>
  <c r="F7" i="1" s="1"/>
  <c r="E8" i="1" a="1"/>
  <c r="E8" i="1" s="1"/>
  <c r="F8" i="1" s="1" a="1"/>
  <c r="F8" i="1" s="1"/>
  <c r="E9" i="1" a="1"/>
  <c r="E9" i="1" s="1"/>
  <c r="F9" i="1" s="1" a="1"/>
  <c r="F9" i="1" s="1"/>
  <c r="E10" i="1" a="1"/>
  <c r="E10" i="1" s="1"/>
  <c r="F10" i="1" s="1" a="1"/>
  <c r="F10" i="1" s="1"/>
  <c r="E11" i="1" a="1"/>
  <c r="E11" i="1" s="1"/>
  <c r="F11" i="1" s="1" a="1"/>
  <c r="F11" i="1" s="1"/>
  <c r="E12" i="1" a="1"/>
  <c r="E12" i="1" s="1"/>
  <c r="F12" i="1" s="1" a="1"/>
  <c r="F12" i="1" s="1"/>
  <c r="E13" i="1" a="1"/>
  <c r="E13" i="1" s="1"/>
  <c r="F13" i="1" s="1" a="1"/>
  <c r="F13" i="1" s="1"/>
  <c r="E14" i="1" a="1"/>
  <c r="E14" i="1" s="1"/>
  <c r="F14" i="1" s="1" a="1"/>
  <c r="F14" i="1" s="1"/>
  <c r="E15" i="1" a="1"/>
  <c r="E15" i="1" s="1"/>
  <c r="F15" i="1" s="1" a="1"/>
  <c r="F15" i="1" s="1"/>
  <c r="E16" i="1" a="1"/>
  <c r="E16" i="1" s="1"/>
  <c r="F16" i="1" s="1" a="1"/>
  <c r="F16" i="1" s="1"/>
  <c r="E17" i="1" a="1"/>
  <c r="E17" i="1" s="1"/>
  <c r="F17" i="1" s="1" a="1"/>
  <c r="F17" i="1" s="1"/>
  <c r="E18" i="1" a="1"/>
  <c r="E18" i="1" s="1"/>
  <c r="F18" i="1" s="1" a="1"/>
  <c r="F18" i="1" s="1"/>
  <c r="E19" i="1" a="1"/>
  <c r="E19" i="1" s="1"/>
  <c r="F19" i="1" s="1" a="1"/>
  <c r="F19" i="1" s="1"/>
  <c r="E20" i="1" a="1"/>
  <c r="E20" i="1" s="1"/>
  <c r="F20" i="1" s="1" a="1"/>
  <c r="F20" i="1" s="1"/>
  <c r="E21" i="1" a="1"/>
  <c r="E21" i="1" s="1"/>
  <c r="F21" i="1" s="1" a="1"/>
  <c r="F21" i="1" s="1"/>
  <c r="E22" i="1" a="1"/>
  <c r="E22" i="1" s="1"/>
  <c r="F22" i="1" s="1" a="1"/>
  <c r="F22" i="1" s="1"/>
  <c r="E23" i="1" a="1"/>
  <c r="E23" i="1" s="1"/>
  <c r="F23" i="1" s="1" a="1"/>
  <c r="F23" i="1" s="1"/>
  <c r="E24" i="1" a="1"/>
  <c r="E24" i="1" s="1"/>
  <c r="F24" i="1" s="1" a="1"/>
  <c r="F24" i="1" s="1"/>
  <c r="E25" i="1" a="1"/>
  <c r="E25" i="1" s="1"/>
  <c r="F25" i="1" s="1" a="1"/>
  <c r="F25" i="1" s="1"/>
  <c r="E26" i="1" a="1"/>
  <c r="E26" i="1" s="1"/>
  <c r="F26" i="1" s="1" a="1"/>
  <c r="F26" i="1" s="1"/>
  <c r="E27" i="1" a="1"/>
  <c r="E27" i="1" s="1"/>
  <c r="F27" i="1" s="1" a="1"/>
  <c r="F27" i="1" s="1"/>
  <c r="E28" i="1" a="1"/>
  <c r="E28" i="1" s="1"/>
  <c r="F28" i="1" s="1" a="1"/>
  <c r="F28" i="1" s="1"/>
  <c r="E29" i="1" a="1"/>
  <c r="E29" i="1" s="1"/>
  <c r="F29" i="1" s="1" a="1"/>
  <c r="F29" i="1" s="1"/>
  <c r="E30" i="1" a="1"/>
  <c r="E30" i="1" s="1"/>
  <c r="F30" i="1" s="1" a="1"/>
  <c r="F30" i="1" s="1"/>
  <c r="E31" i="1" a="1"/>
  <c r="E31" i="1" s="1"/>
  <c r="F31" i="1" s="1" a="1"/>
  <c r="F31" i="1" s="1"/>
  <c r="E32" i="1" a="1"/>
  <c r="E32" i="1" s="1"/>
  <c r="F32" i="1" s="1" a="1"/>
  <c r="F32" i="1" s="1"/>
  <c r="E33" i="1" a="1"/>
  <c r="E33" i="1" s="1"/>
  <c r="F33" i="1" s="1" a="1"/>
  <c r="F33" i="1" s="1"/>
  <c r="E34" i="1" a="1"/>
  <c r="E34" i="1" s="1"/>
  <c r="F34" i="1" s="1" a="1"/>
  <c r="F34" i="1" s="1"/>
  <c r="E35" i="1" a="1"/>
  <c r="E35" i="1" s="1"/>
  <c r="F35" i="1" s="1" a="1"/>
  <c r="F35" i="1" s="1"/>
  <c r="E36" i="1" a="1"/>
  <c r="E36" i="1" s="1"/>
  <c r="F36" i="1" s="1" a="1"/>
  <c r="F36" i="1" s="1"/>
  <c r="E37" i="1" a="1"/>
  <c r="E37" i="1" s="1"/>
  <c r="F37" i="1" s="1" a="1"/>
  <c r="F37" i="1" s="1"/>
  <c r="E38" i="1" a="1"/>
  <c r="E38" i="1" s="1"/>
  <c r="F38" i="1" s="1" a="1"/>
  <c r="F38" i="1" s="1"/>
  <c r="E39" i="1" a="1"/>
  <c r="E39" i="1" s="1"/>
  <c r="F39" i="1" s="1" a="1"/>
  <c r="F39" i="1" s="1"/>
  <c r="E40" i="1" a="1"/>
  <c r="E40" i="1" s="1"/>
  <c r="F40" i="1" s="1" a="1"/>
  <c r="F40" i="1" s="1"/>
  <c r="E41" i="1" a="1"/>
  <c r="E41" i="1" s="1"/>
  <c r="F41" i="1" s="1" a="1"/>
  <c r="F41" i="1" s="1"/>
  <c r="E42" i="1" a="1"/>
  <c r="E42" i="1" s="1"/>
  <c r="F42" i="1" s="1" a="1"/>
  <c r="F42" i="1" s="1"/>
  <c r="E43" i="1" a="1"/>
  <c r="E43" i="1" s="1"/>
  <c r="F43" i="1" s="1" a="1"/>
  <c r="F43" i="1" s="1"/>
  <c r="E44" i="1" a="1"/>
  <c r="E44" i="1" s="1"/>
  <c r="F44" i="1" s="1" a="1"/>
  <c r="F44" i="1" s="1"/>
  <c r="E45" i="1" a="1"/>
  <c r="E45" i="1" s="1"/>
  <c r="F45" i="1" s="1" a="1"/>
  <c r="F45" i="1" s="1"/>
  <c r="E46" i="1" a="1"/>
  <c r="E46" i="1" s="1"/>
  <c r="F46" i="1" s="1" a="1"/>
  <c r="F46" i="1" s="1"/>
  <c r="E47" i="1" a="1"/>
  <c r="E47" i="1" s="1"/>
  <c r="F47" i="1" s="1" a="1"/>
  <c r="F47" i="1" s="1"/>
  <c r="E48" i="1" a="1"/>
  <c r="E48" i="1" s="1"/>
  <c r="F48" i="1" s="1" a="1"/>
  <c r="F48" i="1" s="1"/>
  <c r="E49" i="1" a="1"/>
  <c r="E49" i="1" s="1"/>
  <c r="F49" i="1" s="1" a="1"/>
  <c r="F49" i="1" s="1"/>
  <c r="E50" i="1" a="1"/>
  <c r="E50" i="1" s="1"/>
  <c r="F50" i="1" s="1" a="1"/>
  <c r="F50" i="1" s="1"/>
  <c r="E51" i="1" a="1"/>
  <c r="E51" i="1" s="1"/>
  <c r="F51" i="1" s="1" a="1"/>
  <c r="F51" i="1" s="1"/>
  <c r="E52" i="1" a="1"/>
  <c r="E52" i="1" s="1"/>
  <c r="F52" i="1" s="1" a="1"/>
  <c r="F52" i="1" s="1"/>
  <c r="E53" i="1" a="1"/>
  <c r="E53" i="1" s="1"/>
  <c r="F53" i="1" s="1" a="1"/>
  <c r="F53" i="1" s="1"/>
  <c r="E54" i="1" a="1"/>
  <c r="E54" i="1" s="1"/>
  <c r="F54" i="1" s="1" a="1"/>
  <c r="F54" i="1" s="1"/>
  <c r="E55" i="1" a="1"/>
  <c r="E55" i="1" s="1"/>
  <c r="F55" i="1" s="1" a="1"/>
  <c r="F55" i="1" s="1"/>
  <c r="E56" i="1" a="1"/>
  <c r="E56" i="1" s="1"/>
  <c r="F56" i="1" s="1" a="1"/>
  <c r="F56" i="1" s="1"/>
  <c r="E57" i="1" a="1"/>
  <c r="E57" i="1" s="1"/>
  <c r="F57" i="1" s="1" a="1"/>
  <c r="F57" i="1" s="1"/>
  <c r="E58" i="1" a="1"/>
  <c r="E58" i="1" s="1"/>
  <c r="F58" i="1" s="1" a="1"/>
  <c r="F58" i="1" s="1"/>
  <c r="E59" i="1" a="1"/>
  <c r="E59" i="1" s="1"/>
  <c r="F59" i="1" s="1" a="1"/>
  <c r="F59" i="1" s="1"/>
  <c r="E60" i="1" a="1"/>
  <c r="E60" i="1" s="1"/>
  <c r="F60" i="1" s="1" a="1"/>
  <c r="F60" i="1" s="1"/>
  <c r="E61" i="1" a="1"/>
  <c r="E61" i="1" s="1"/>
  <c r="F61" i="1" s="1" a="1"/>
  <c r="F61" i="1" s="1"/>
  <c r="E62" i="1" a="1"/>
  <c r="E62" i="1" s="1"/>
  <c r="F62" i="1" s="1" a="1"/>
  <c r="F62" i="1" s="1"/>
  <c r="E63" i="1" a="1"/>
  <c r="E63" i="1" s="1"/>
  <c r="F63" i="1" s="1" a="1"/>
  <c r="F63" i="1" s="1"/>
  <c r="E64" i="1" a="1"/>
  <c r="E64" i="1" s="1"/>
  <c r="F64" i="1" s="1" a="1"/>
  <c r="F64" i="1" s="1"/>
  <c r="E65" i="1" a="1"/>
  <c r="E65" i="1" s="1"/>
  <c r="F65" i="1" s="1" a="1"/>
  <c r="F65" i="1" s="1"/>
  <c r="E66" i="1" a="1"/>
  <c r="E66" i="1" s="1"/>
  <c r="F66" i="1" s="1" a="1"/>
  <c r="F66" i="1" s="1"/>
  <c r="E67" i="1" a="1"/>
  <c r="E67" i="1" s="1"/>
  <c r="F67" i="1" s="1" a="1"/>
  <c r="F67" i="1" s="1"/>
  <c r="E68" i="1" a="1"/>
  <c r="E68" i="1" s="1"/>
  <c r="F68" i="1" s="1" a="1"/>
  <c r="F68" i="1" s="1"/>
  <c r="E69" i="1" a="1"/>
  <c r="E69" i="1" s="1"/>
  <c r="F69" i="1" s="1" a="1"/>
  <c r="F69" i="1" s="1"/>
  <c r="E70" i="1" a="1"/>
  <c r="E70" i="1" s="1"/>
  <c r="F70" i="1" s="1" a="1"/>
  <c r="F70" i="1" s="1"/>
  <c r="E71" i="1" a="1"/>
  <c r="E71" i="1" s="1"/>
  <c r="F71" i="1" s="1" a="1"/>
  <c r="F71" i="1" s="1"/>
  <c r="E72" i="1" a="1"/>
  <c r="E72" i="1" s="1"/>
  <c r="F72" i="1" s="1" a="1"/>
  <c r="F72" i="1" s="1"/>
  <c r="E73" i="1" a="1"/>
  <c r="E73" i="1" s="1"/>
  <c r="F73" i="1" s="1" a="1"/>
  <c r="F73" i="1" s="1"/>
  <c r="E74" i="1" a="1"/>
  <c r="E74" i="1" s="1"/>
  <c r="F74" i="1" s="1" a="1"/>
  <c r="F74" i="1" s="1"/>
  <c r="E75" i="1" a="1"/>
  <c r="E75" i="1" s="1"/>
  <c r="F75" i="1" s="1" a="1"/>
  <c r="F75" i="1" s="1"/>
  <c r="E76" i="1" a="1"/>
  <c r="E76" i="1" s="1"/>
  <c r="F76" i="1" s="1" a="1"/>
  <c r="F76" i="1" s="1"/>
  <c r="E77" i="1" a="1"/>
  <c r="E77" i="1" s="1"/>
  <c r="F77" i="1" s="1" a="1"/>
  <c r="F77" i="1" s="1"/>
  <c r="E78" i="1" a="1"/>
  <c r="E78" i="1" s="1"/>
  <c r="F78" i="1" s="1" a="1"/>
  <c r="F78" i="1" s="1"/>
  <c r="E79" i="1" a="1"/>
  <c r="E79" i="1" s="1"/>
  <c r="F79" i="1" s="1" a="1"/>
  <c r="F79" i="1" s="1"/>
  <c r="E80" i="1" a="1"/>
  <c r="E80" i="1" s="1"/>
  <c r="F80" i="1" s="1" a="1"/>
  <c r="F80" i="1" s="1"/>
  <c r="E81" i="1" a="1"/>
  <c r="E81" i="1" s="1"/>
  <c r="F81" i="1" s="1" a="1"/>
  <c r="F81" i="1" s="1"/>
  <c r="E82" i="1" a="1"/>
  <c r="E82" i="1" s="1"/>
  <c r="F82" i="1" s="1" a="1"/>
  <c r="F82" i="1" s="1"/>
  <c r="E83" i="1" a="1"/>
  <c r="E83" i="1" s="1"/>
  <c r="F83" i="1" s="1" a="1"/>
  <c r="F83" i="1" s="1"/>
  <c r="E84" i="1" a="1"/>
  <c r="E84" i="1" s="1"/>
  <c r="F84" i="1" s="1" a="1"/>
  <c r="F84" i="1" s="1"/>
  <c r="E85" i="1" a="1"/>
  <c r="E85" i="1" s="1"/>
  <c r="F85" i="1" s="1" a="1"/>
  <c r="F85" i="1" s="1"/>
  <c r="E86" i="1" a="1"/>
  <c r="E86" i="1" s="1"/>
  <c r="F86" i="1" s="1" a="1"/>
  <c r="F86" i="1" s="1"/>
  <c r="E87" i="1" a="1"/>
  <c r="E87" i="1" s="1"/>
  <c r="F87" i="1" s="1" a="1"/>
  <c r="F87" i="1" s="1"/>
  <c r="E88" i="1" a="1"/>
  <c r="E88" i="1" s="1"/>
  <c r="F88" i="1" s="1" a="1"/>
  <c r="F88" i="1" s="1"/>
  <c r="E89" i="1" a="1"/>
  <c r="E89" i="1" s="1"/>
  <c r="F89" i="1" s="1" a="1"/>
  <c r="F89" i="1" s="1"/>
  <c r="E90" i="1" a="1"/>
  <c r="E90" i="1" s="1"/>
  <c r="F90" i="1" s="1" a="1"/>
  <c r="F90" i="1" s="1"/>
  <c r="E91" i="1" a="1"/>
  <c r="E91" i="1" s="1"/>
  <c r="F91" i="1" s="1" a="1"/>
  <c r="F91" i="1" s="1"/>
  <c r="E92" i="1" a="1"/>
  <c r="E92" i="1" s="1"/>
  <c r="F92" i="1" s="1" a="1"/>
  <c r="F92" i="1" s="1"/>
  <c r="E93" i="1" a="1"/>
  <c r="E93" i="1" s="1"/>
  <c r="F93" i="1" s="1" a="1"/>
  <c r="F93" i="1" s="1"/>
  <c r="E94" i="1" a="1"/>
  <c r="E94" i="1" s="1"/>
  <c r="F94" i="1" s="1" a="1"/>
  <c r="F94" i="1" s="1"/>
  <c r="E95" i="1" a="1"/>
  <c r="E95" i="1" s="1"/>
  <c r="F95" i="1" s="1" a="1"/>
  <c r="F95" i="1" s="1"/>
  <c r="E96" i="1" a="1"/>
  <c r="E96" i="1" s="1"/>
  <c r="F96" i="1" s="1" a="1"/>
  <c r="F96" i="1" s="1"/>
  <c r="E97" i="1" a="1"/>
  <c r="E97" i="1" s="1"/>
  <c r="F97" i="1" s="1" a="1"/>
  <c r="F97" i="1" s="1"/>
  <c r="E98" i="1" a="1"/>
  <c r="E98" i="1" s="1"/>
  <c r="F98" i="1" s="1" a="1"/>
  <c r="F98" i="1" s="1"/>
  <c r="E99" i="1" a="1"/>
  <c r="E99" i="1" s="1"/>
  <c r="F99" i="1" s="1" a="1"/>
  <c r="F99" i="1" s="1"/>
  <c r="E100" i="1" a="1"/>
  <c r="E100" i="1" s="1"/>
  <c r="F100" i="1" s="1" a="1"/>
  <c r="F100" i="1" s="1"/>
  <c r="E101" i="1" a="1"/>
  <c r="E101" i="1" s="1"/>
  <c r="F101" i="1" s="1" a="1"/>
  <c r="F101" i="1" s="1"/>
  <c r="E2" i="1" a="1"/>
  <c r="E2" i="1" s="1"/>
  <c r="F2" i="1" s="1" a="1"/>
  <c r="F2" i="1" s="1"/>
  <c r="D3" i="1" a="1"/>
  <c r="D3" i="1" s="1"/>
  <c r="D4" i="1" a="1"/>
  <c r="D4" i="1" s="1"/>
  <c r="D5" i="1" a="1"/>
  <c r="D5" i="1" s="1"/>
  <c r="D6" i="1" a="1"/>
  <c r="D6" i="1" s="1"/>
  <c r="D7" i="1" a="1"/>
  <c r="D7" i="1" s="1"/>
  <c r="D8" i="1" a="1"/>
  <c r="D8" i="1" s="1"/>
  <c r="D9" i="1" a="1"/>
  <c r="D9" i="1" s="1"/>
  <c r="D10" i="1" a="1"/>
  <c r="D10" i="1" s="1"/>
  <c r="D11" i="1" a="1"/>
  <c r="D11" i="1" s="1"/>
  <c r="D12" i="1" a="1"/>
  <c r="D12" i="1" s="1"/>
  <c r="D13" i="1" a="1"/>
  <c r="D13" i="1" s="1"/>
  <c r="D14" i="1" a="1"/>
  <c r="D14" i="1" s="1"/>
  <c r="D15" i="1" a="1"/>
  <c r="D15" i="1" s="1"/>
  <c r="D16" i="1" a="1"/>
  <c r="D16" i="1" s="1"/>
  <c r="D17" i="1" a="1"/>
  <c r="D17" i="1" s="1"/>
  <c r="D18" i="1" a="1"/>
  <c r="D18" i="1" s="1"/>
  <c r="D19" i="1" a="1"/>
  <c r="D19" i="1" s="1"/>
  <c r="D20" i="1" a="1"/>
  <c r="D20" i="1" s="1"/>
  <c r="D21" i="1" a="1"/>
  <c r="D21" i="1" s="1"/>
  <c r="D22" i="1" a="1"/>
  <c r="D22" i="1" s="1"/>
  <c r="D23" i="1" a="1"/>
  <c r="D23" i="1" s="1"/>
  <c r="D24" i="1" a="1"/>
  <c r="D24" i="1" s="1"/>
  <c r="D25" i="1" a="1"/>
  <c r="D25" i="1" s="1"/>
  <c r="D26" i="1" a="1"/>
  <c r="D26" i="1" s="1"/>
  <c r="D27" i="1" a="1"/>
  <c r="D27" i="1" s="1"/>
  <c r="D28" i="1" a="1"/>
  <c r="D28" i="1" s="1"/>
  <c r="D29" i="1" a="1"/>
  <c r="D29" i="1" s="1"/>
  <c r="D30" i="1" a="1"/>
  <c r="D30" i="1" s="1"/>
  <c r="D31" i="1" a="1"/>
  <c r="D31" i="1" s="1"/>
  <c r="D32" i="1" a="1"/>
  <c r="D32" i="1" s="1"/>
  <c r="D33" i="1" a="1"/>
  <c r="D33" i="1" s="1"/>
  <c r="D34" i="1" a="1"/>
  <c r="D34" i="1" s="1"/>
  <c r="D35" i="1" a="1"/>
  <c r="D35" i="1" s="1"/>
  <c r="D36" i="1" a="1"/>
  <c r="D36" i="1" s="1"/>
  <c r="D37" i="1" a="1"/>
  <c r="D37" i="1" s="1"/>
  <c r="D38" i="1" a="1"/>
  <c r="D38" i="1" s="1"/>
  <c r="D39" i="1" a="1"/>
  <c r="D39" i="1" s="1"/>
  <c r="D40" i="1" a="1"/>
  <c r="D40" i="1" s="1"/>
  <c r="D41" i="1" a="1"/>
  <c r="D41" i="1" s="1"/>
  <c r="D42" i="1" a="1"/>
  <c r="D42" i="1" s="1"/>
  <c r="D43" i="1" a="1"/>
  <c r="D43" i="1" s="1"/>
  <c r="D44" i="1" a="1"/>
  <c r="D44" i="1" s="1"/>
  <c r="D45" i="1" a="1"/>
  <c r="D45" i="1" s="1"/>
  <c r="D46" i="1" a="1"/>
  <c r="D46" i="1" s="1"/>
  <c r="D47" i="1" a="1"/>
  <c r="D47" i="1" s="1"/>
  <c r="D48" i="1" a="1"/>
  <c r="D48" i="1" s="1"/>
  <c r="D49" i="1" a="1"/>
  <c r="D49" i="1" s="1"/>
  <c r="D50" i="1" a="1"/>
  <c r="D50" i="1" s="1"/>
  <c r="D51" i="1" a="1"/>
  <c r="D51" i="1" s="1"/>
  <c r="D52" i="1" a="1"/>
  <c r="D52" i="1" s="1"/>
  <c r="D53" i="1" a="1"/>
  <c r="D53" i="1" s="1"/>
  <c r="D54" i="1" a="1"/>
  <c r="D54" i="1" s="1"/>
  <c r="D55" i="1" a="1"/>
  <c r="D55" i="1" s="1"/>
  <c r="D56" i="1" a="1"/>
  <c r="D56" i="1" s="1"/>
  <c r="D57" i="1" a="1"/>
  <c r="D57" i="1" s="1"/>
  <c r="D58" i="1" a="1"/>
  <c r="D58" i="1" s="1"/>
  <c r="D59" i="1" a="1"/>
  <c r="D59" i="1" s="1"/>
  <c r="D60" i="1" a="1"/>
  <c r="D60" i="1" s="1"/>
  <c r="D61" i="1" a="1"/>
  <c r="D61" i="1" s="1"/>
  <c r="D62" i="1" a="1"/>
  <c r="D62" i="1" s="1"/>
  <c r="D63" i="1" a="1"/>
  <c r="D63" i="1" s="1"/>
  <c r="D64" i="1" a="1"/>
  <c r="D64" i="1" s="1"/>
  <c r="D65" i="1" a="1"/>
  <c r="D65" i="1" s="1"/>
  <c r="D66" i="1" a="1"/>
  <c r="D66" i="1" s="1"/>
  <c r="D67" i="1" a="1"/>
  <c r="D67" i="1" s="1"/>
  <c r="D68" i="1" a="1"/>
  <c r="D68" i="1" s="1"/>
  <c r="D69" i="1" a="1"/>
  <c r="D69" i="1" s="1"/>
  <c r="D70" i="1" a="1"/>
  <c r="D70" i="1" s="1"/>
  <c r="D71" i="1" a="1"/>
  <c r="D71" i="1" s="1"/>
  <c r="D72" i="1" a="1"/>
  <c r="D72" i="1" s="1"/>
  <c r="D73" i="1" a="1"/>
  <c r="D73" i="1" s="1"/>
  <c r="D74" i="1" a="1"/>
  <c r="D74" i="1" s="1"/>
  <c r="D75" i="1" a="1"/>
  <c r="D75" i="1" s="1"/>
  <c r="D76" i="1" a="1"/>
  <c r="D76" i="1" s="1"/>
  <c r="D77" i="1" a="1"/>
  <c r="D77" i="1" s="1"/>
  <c r="D78" i="1" a="1"/>
  <c r="D78" i="1" s="1"/>
  <c r="D79" i="1" a="1"/>
  <c r="D79" i="1" s="1"/>
  <c r="D80" i="1" a="1"/>
  <c r="D80" i="1" s="1"/>
  <c r="D81" i="1" a="1"/>
  <c r="D81" i="1" s="1"/>
  <c r="D82" i="1" a="1"/>
  <c r="D82" i="1" s="1"/>
  <c r="D83" i="1" a="1"/>
  <c r="D83" i="1" s="1"/>
  <c r="D84" i="1" a="1"/>
  <c r="D84" i="1" s="1"/>
  <c r="D85" i="1" a="1"/>
  <c r="D85" i="1" s="1"/>
  <c r="D86" i="1" a="1"/>
  <c r="D86" i="1" s="1"/>
  <c r="D87" i="1" a="1"/>
  <c r="D87" i="1" s="1"/>
  <c r="D88" i="1" a="1"/>
  <c r="D88" i="1" s="1"/>
  <c r="D89" i="1" a="1"/>
  <c r="D89" i="1" s="1"/>
  <c r="D90" i="1" a="1"/>
  <c r="D90" i="1" s="1"/>
  <c r="D91" i="1" a="1"/>
  <c r="D91" i="1" s="1"/>
  <c r="D92" i="1" a="1"/>
  <c r="D92" i="1" s="1"/>
  <c r="D93" i="1" a="1"/>
  <c r="D93" i="1" s="1"/>
  <c r="D94" i="1" a="1"/>
  <c r="D94" i="1" s="1"/>
  <c r="D95" i="1" a="1"/>
  <c r="D95" i="1" s="1"/>
  <c r="D96" i="1" a="1"/>
  <c r="D96" i="1" s="1"/>
  <c r="D97" i="1" a="1"/>
  <c r="D97" i="1" s="1"/>
  <c r="D98" i="1" a="1"/>
  <c r="D98" i="1" s="1"/>
  <c r="D99" i="1" a="1"/>
  <c r="D99" i="1" s="1"/>
  <c r="D100" i="1" a="1"/>
  <c r="D100" i="1" s="1"/>
  <c r="D101" i="1" a="1"/>
  <c r="D101" i="1" s="1"/>
  <c r="D2" i="1" a="1"/>
  <c r="D2" i="1" s="1"/>
  <c r="C3" i="1" a="1"/>
  <c r="C3" i="1" s="1"/>
  <c r="C4" i="1" a="1"/>
  <c r="C4" i="1" s="1"/>
  <c r="C5" i="1" a="1"/>
  <c r="C5" i="1" s="1"/>
  <c r="C6" i="1" a="1"/>
  <c r="C6" i="1" s="1"/>
  <c r="C7" i="1" a="1"/>
  <c r="C7" i="1" s="1"/>
  <c r="C8" i="1" a="1"/>
  <c r="C8" i="1" s="1"/>
  <c r="C9" i="1" a="1"/>
  <c r="C9" i="1" s="1"/>
  <c r="C10" i="1" a="1"/>
  <c r="C10" i="1" s="1"/>
  <c r="C11" i="1" a="1"/>
  <c r="C11" i="1" s="1"/>
  <c r="C12" i="1" a="1"/>
  <c r="C12" i="1" s="1"/>
  <c r="C13" i="1" a="1"/>
  <c r="C13" i="1" s="1"/>
  <c r="C14" i="1" a="1"/>
  <c r="C14" i="1" s="1"/>
  <c r="C15" i="1" a="1"/>
  <c r="C15" i="1" s="1"/>
  <c r="C16" i="1" a="1"/>
  <c r="C16" i="1" s="1"/>
  <c r="C17" i="1" a="1"/>
  <c r="C17" i="1" s="1"/>
  <c r="C18" i="1" a="1"/>
  <c r="C18" i="1" s="1"/>
  <c r="C19" i="1" a="1"/>
  <c r="C19" i="1" s="1"/>
  <c r="C20" i="1" a="1"/>
  <c r="C20" i="1" s="1"/>
  <c r="C21" i="1" a="1"/>
  <c r="C21" i="1" s="1"/>
  <c r="C22" i="1" a="1"/>
  <c r="C22" i="1" s="1"/>
  <c r="C23" i="1" a="1"/>
  <c r="C23" i="1" s="1"/>
  <c r="C24" i="1" a="1"/>
  <c r="C24" i="1" s="1"/>
  <c r="C25" i="1" a="1"/>
  <c r="C25" i="1" s="1"/>
  <c r="C26" i="1" a="1"/>
  <c r="C26" i="1" s="1"/>
  <c r="C27" i="1" a="1"/>
  <c r="C27" i="1" s="1"/>
  <c r="C28" i="1" a="1"/>
  <c r="C28" i="1" s="1"/>
  <c r="C29" i="1" a="1"/>
  <c r="C29" i="1" s="1"/>
  <c r="C30" i="1" a="1"/>
  <c r="C30" i="1" s="1"/>
  <c r="C31" i="1" a="1"/>
  <c r="C31" i="1" s="1"/>
  <c r="C32" i="1" a="1"/>
  <c r="C32" i="1" s="1"/>
  <c r="C33" i="1" a="1"/>
  <c r="C33" i="1" s="1"/>
  <c r="C34" i="1" a="1"/>
  <c r="C34" i="1" s="1"/>
  <c r="C35" i="1" a="1"/>
  <c r="C35" i="1" s="1"/>
  <c r="C36" i="1" a="1"/>
  <c r="C36" i="1" s="1"/>
  <c r="C37" i="1" a="1"/>
  <c r="C37" i="1" s="1"/>
  <c r="C38" i="1" a="1"/>
  <c r="C38" i="1" s="1"/>
  <c r="C39" i="1" a="1"/>
  <c r="C39" i="1" s="1"/>
  <c r="C40" i="1" a="1"/>
  <c r="C40" i="1" s="1"/>
  <c r="C41" i="1" a="1"/>
  <c r="C41" i="1" s="1"/>
  <c r="C42" i="1" a="1"/>
  <c r="C42" i="1" s="1"/>
  <c r="C43" i="1" a="1"/>
  <c r="C43" i="1" s="1"/>
  <c r="C44" i="1" a="1"/>
  <c r="C44" i="1" s="1"/>
  <c r="C45" i="1" a="1"/>
  <c r="C45" i="1" s="1"/>
  <c r="C46" i="1" a="1"/>
  <c r="C46" i="1" s="1"/>
  <c r="C47" i="1" a="1"/>
  <c r="C47" i="1" s="1"/>
  <c r="C48" i="1" a="1"/>
  <c r="C48" i="1" s="1"/>
  <c r="C49" i="1" a="1"/>
  <c r="C49" i="1" s="1"/>
  <c r="C50" i="1" a="1"/>
  <c r="C50" i="1" s="1"/>
  <c r="C51" i="1" a="1"/>
  <c r="C51" i="1" s="1"/>
  <c r="C52" i="1" a="1"/>
  <c r="C52" i="1" s="1"/>
  <c r="C53" i="1" a="1"/>
  <c r="C53" i="1" s="1"/>
  <c r="C54" i="1" a="1"/>
  <c r="C54" i="1" s="1"/>
  <c r="C55" i="1" a="1"/>
  <c r="C55" i="1" s="1"/>
  <c r="C56" i="1" a="1"/>
  <c r="C56" i="1" s="1"/>
  <c r="C57" i="1" a="1"/>
  <c r="C57" i="1" s="1"/>
  <c r="C58" i="1" a="1"/>
  <c r="C58" i="1" s="1"/>
  <c r="C59" i="1" a="1"/>
  <c r="C59" i="1" s="1"/>
  <c r="C60" i="1" a="1"/>
  <c r="C60" i="1" s="1"/>
  <c r="C61" i="1" a="1"/>
  <c r="C61" i="1" s="1"/>
  <c r="C62" i="1" a="1"/>
  <c r="C62" i="1" s="1"/>
  <c r="C63" i="1" a="1"/>
  <c r="C63" i="1" s="1"/>
  <c r="C64" i="1" a="1"/>
  <c r="C64" i="1" s="1"/>
  <c r="C65" i="1" a="1"/>
  <c r="C65" i="1" s="1"/>
  <c r="C66" i="1" a="1"/>
  <c r="C66" i="1" s="1"/>
  <c r="C67" i="1" a="1"/>
  <c r="C67" i="1" s="1"/>
  <c r="C68" i="1" a="1"/>
  <c r="C68" i="1" s="1"/>
  <c r="C69" i="1" a="1"/>
  <c r="C69" i="1" s="1"/>
  <c r="C70" i="1" a="1"/>
  <c r="C70" i="1" s="1"/>
  <c r="C71" i="1" a="1"/>
  <c r="C71" i="1" s="1"/>
  <c r="C72" i="1" a="1"/>
  <c r="C72" i="1" s="1"/>
  <c r="C73" i="1" a="1"/>
  <c r="C73" i="1" s="1"/>
  <c r="C74" i="1" a="1"/>
  <c r="C74" i="1" s="1"/>
  <c r="C75" i="1" a="1"/>
  <c r="C75" i="1" s="1"/>
  <c r="C76" i="1" a="1"/>
  <c r="C76" i="1" s="1"/>
  <c r="C77" i="1" a="1"/>
  <c r="C77" i="1" s="1"/>
  <c r="C78" i="1" a="1"/>
  <c r="C78" i="1" s="1"/>
  <c r="C79" i="1" a="1"/>
  <c r="C79" i="1" s="1"/>
  <c r="C80" i="1" a="1"/>
  <c r="C80" i="1" s="1"/>
  <c r="C81" i="1" a="1"/>
  <c r="C81" i="1" s="1"/>
  <c r="C82" i="1" a="1"/>
  <c r="C82" i="1" s="1"/>
  <c r="C83" i="1" a="1"/>
  <c r="C83" i="1" s="1"/>
  <c r="C84" i="1" a="1"/>
  <c r="C84" i="1" s="1"/>
  <c r="C85" i="1" a="1"/>
  <c r="C85" i="1" s="1"/>
  <c r="C86" i="1" a="1"/>
  <c r="C86" i="1" s="1"/>
  <c r="C87" i="1" a="1"/>
  <c r="C87" i="1" s="1"/>
  <c r="C88" i="1" a="1"/>
  <c r="C88" i="1" s="1"/>
  <c r="C89" i="1" a="1"/>
  <c r="C89" i="1" s="1"/>
  <c r="C90" i="1" a="1"/>
  <c r="C90" i="1" s="1"/>
  <c r="C91" i="1" a="1"/>
  <c r="C91" i="1" s="1"/>
  <c r="C92" i="1" a="1"/>
  <c r="C92" i="1" s="1"/>
  <c r="C93" i="1" a="1"/>
  <c r="C93" i="1" s="1"/>
  <c r="C94" i="1" a="1"/>
  <c r="C94" i="1" s="1"/>
  <c r="C95" i="1" a="1"/>
  <c r="C95" i="1" s="1"/>
  <c r="C96" i="1" a="1"/>
  <c r="C96" i="1" s="1"/>
  <c r="C97" i="1" a="1"/>
  <c r="C97" i="1" s="1"/>
  <c r="C98" i="1" a="1"/>
  <c r="C98" i="1" s="1"/>
  <c r="C99" i="1" a="1"/>
  <c r="C99" i="1" s="1"/>
  <c r="C100" i="1" a="1"/>
  <c r="C100" i="1" s="1"/>
  <c r="C101" i="1" a="1"/>
  <c r="C101" i="1" s="1"/>
  <c r="C2" i="1" a="1"/>
  <c r="C2" i="1" s="1"/>
  <c r="M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H2" i="1"/>
  <c r="G2" i="1"/>
  <c r="F3" i="2" l="1"/>
  <c r="I65" i="1"/>
  <c r="P65" i="1" s="1"/>
  <c r="I96" i="1"/>
  <c r="P96" i="1" s="1"/>
  <c r="I88" i="1"/>
  <c r="P88" i="1" s="1"/>
  <c r="I80" i="1"/>
  <c r="P80" i="1" s="1"/>
  <c r="I72" i="1"/>
  <c r="P72" i="1" s="1"/>
  <c r="I64" i="1"/>
  <c r="P64" i="1" s="1"/>
  <c r="I56" i="1"/>
  <c r="P56" i="1" s="1"/>
  <c r="I48" i="1"/>
  <c r="P48" i="1" s="1"/>
  <c r="I40" i="1"/>
  <c r="P40" i="1" s="1"/>
  <c r="I32" i="1"/>
  <c r="P32" i="1" s="1"/>
  <c r="I24" i="1"/>
  <c r="P24" i="1" s="1"/>
  <c r="I16" i="1"/>
  <c r="P16" i="1" s="1"/>
  <c r="I8" i="1"/>
  <c r="P8" i="1" s="1"/>
  <c r="I98" i="1"/>
  <c r="P98" i="1" s="1"/>
  <c r="I90" i="1"/>
  <c r="P90" i="1" s="1"/>
  <c r="I82" i="1"/>
  <c r="P82" i="1" s="1"/>
  <c r="I74" i="1"/>
  <c r="P74" i="1" s="1"/>
  <c r="I66" i="1"/>
  <c r="P66" i="1" s="1"/>
  <c r="I58" i="1"/>
  <c r="P58" i="1" s="1"/>
  <c r="I50" i="1"/>
  <c r="P50" i="1" s="1"/>
  <c r="I42" i="1"/>
  <c r="P42" i="1" s="1"/>
  <c r="I34" i="1"/>
  <c r="P34" i="1" s="1"/>
  <c r="I26" i="1"/>
  <c r="P26" i="1" s="1"/>
  <c r="I18" i="1"/>
  <c r="P18" i="1" s="1"/>
  <c r="I10" i="1"/>
  <c r="P10" i="1" s="1"/>
  <c r="I101" i="1"/>
  <c r="P101" i="1" s="1"/>
  <c r="I93" i="1"/>
  <c r="P93" i="1" s="1"/>
  <c r="I85" i="1"/>
  <c r="P85" i="1" s="1"/>
  <c r="I77" i="1"/>
  <c r="P77" i="1" s="1"/>
  <c r="I69" i="1"/>
  <c r="P69" i="1" s="1"/>
  <c r="I61" i="1"/>
  <c r="P61" i="1" s="1"/>
  <c r="I53" i="1"/>
  <c r="P53" i="1" s="1"/>
  <c r="I45" i="1"/>
  <c r="P45" i="1" s="1"/>
  <c r="I37" i="1"/>
  <c r="P37" i="1" s="1"/>
  <c r="I29" i="1"/>
  <c r="P29" i="1" s="1"/>
  <c r="I21" i="1"/>
  <c r="P21" i="1" s="1"/>
  <c r="I13" i="1"/>
  <c r="P13" i="1" s="1"/>
  <c r="I5" i="1"/>
  <c r="P5" i="1" s="1"/>
  <c r="I97" i="1"/>
  <c r="P97" i="1" s="1"/>
  <c r="I89" i="1"/>
  <c r="P89" i="1" s="1"/>
  <c r="I81" i="1"/>
  <c r="P81" i="1" s="1"/>
  <c r="I73" i="1"/>
  <c r="P73" i="1" s="1"/>
  <c r="I57" i="1"/>
  <c r="P57" i="1" s="1"/>
  <c r="I49" i="1"/>
  <c r="P49" i="1" s="1"/>
  <c r="I41" i="1"/>
  <c r="P41" i="1" s="1"/>
  <c r="I33" i="1"/>
  <c r="P33" i="1" s="1"/>
  <c r="I25" i="1"/>
  <c r="P25" i="1" s="1"/>
  <c r="I17" i="1"/>
  <c r="P17" i="1" s="1"/>
  <c r="I9" i="1"/>
  <c r="P9" i="1" s="1"/>
  <c r="I100" i="1"/>
  <c r="P100" i="1" s="1"/>
  <c r="I92" i="1"/>
  <c r="P92" i="1" s="1"/>
  <c r="I84" i="1"/>
  <c r="P84" i="1" s="1"/>
  <c r="I76" i="1"/>
  <c r="P76" i="1" s="1"/>
  <c r="I68" i="1"/>
  <c r="P68" i="1" s="1"/>
  <c r="I60" i="1"/>
  <c r="P60" i="1" s="1"/>
  <c r="I52" i="1"/>
  <c r="P52" i="1" s="1"/>
  <c r="I44" i="1"/>
  <c r="P44" i="1" s="1"/>
  <c r="I36" i="1"/>
  <c r="P36" i="1" s="1"/>
  <c r="I28" i="1"/>
  <c r="P28" i="1" s="1"/>
  <c r="I20" i="1"/>
  <c r="P20" i="1" s="1"/>
  <c r="I12" i="1"/>
  <c r="P12" i="1" s="1"/>
  <c r="I4" i="1"/>
  <c r="P4" i="1" s="1"/>
  <c r="I95" i="1"/>
  <c r="P95" i="1" s="1"/>
  <c r="I87" i="1"/>
  <c r="P87" i="1" s="1"/>
  <c r="I79" i="1"/>
  <c r="P79" i="1" s="1"/>
  <c r="I71" i="1"/>
  <c r="P71" i="1" s="1"/>
  <c r="I63" i="1"/>
  <c r="P63" i="1" s="1"/>
  <c r="I55" i="1"/>
  <c r="P55" i="1" s="1"/>
  <c r="I47" i="1"/>
  <c r="P47" i="1" s="1"/>
  <c r="I39" i="1"/>
  <c r="P39" i="1" s="1"/>
  <c r="I31" i="1"/>
  <c r="P31" i="1" s="1"/>
  <c r="I23" i="1"/>
  <c r="P23" i="1" s="1"/>
  <c r="I15" i="1"/>
  <c r="P15" i="1" s="1"/>
  <c r="I7" i="1"/>
  <c r="P7" i="1" s="1"/>
  <c r="I99" i="1"/>
  <c r="P99" i="1" s="1"/>
  <c r="I91" i="1"/>
  <c r="P91" i="1" s="1"/>
  <c r="I83" i="1"/>
  <c r="P83" i="1" s="1"/>
  <c r="I75" i="1"/>
  <c r="P75" i="1" s="1"/>
  <c r="I67" i="1"/>
  <c r="P67" i="1" s="1"/>
  <c r="I59" i="1"/>
  <c r="P59" i="1" s="1"/>
  <c r="I51" i="1"/>
  <c r="P51" i="1" s="1"/>
  <c r="I43" i="1"/>
  <c r="P43" i="1" s="1"/>
  <c r="I35" i="1"/>
  <c r="P35" i="1" s="1"/>
  <c r="I27" i="1"/>
  <c r="P27" i="1" s="1"/>
  <c r="I19" i="1"/>
  <c r="P19" i="1" s="1"/>
  <c r="I11" i="1"/>
  <c r="P11" i="1" s="1"/>
  <c r="I3" i="1"/>
  <c r="P3" i="1" s="1"/>
  <c r="I94" i="1"/>
  <c r="P94" i="1" s="1"/>
  <c r="I86" i="1"/>
  <c r="P86" i="1" s="1"/>
  <c r="I78" i="1"/>
  <c r="P78" i="1" s="1"/>
  <c r="I70" i="1"/>
  <c r="P70" i="1" s="1"/>
  <c r="I62" i="1"/>
  <c r="P62" i="1" s="1"/>
  <c r="I54" i="1"/>
  <c r="P54" i="1" s="1"/>
  <c r="I46" i="1"/>
  <c r="P46" i="1" s="1"/>
  <c r="I38" i="1"/>
  <c r="P38" i="1" s="1"/>
  <c r="I30" i="1"/>
  <c r="P30" i="1" s="1"/>
  <c r="I22" i="1"/>
  <c r="P22" i="1" s="1"/>
  <c r="I14" i="1"/>
  <c r="P14" i="1" s="1"/>
  <c r="I6" i="1"/>
  <c r="P6" i="1" s="1"/>
  <c r="I2" i="1"/>
  <c r="P2" i="1" s="1"/>
  <c r="B9" i="2" l="1"/>
  <c r="B3" i="2"/>
  <c r="F5" i="2" s="1"/>
  <c r="J59" i="1"/>
  <c r="K59" i="1" s="1"/>
  <c r="O59" i="1" s="1"/>
  <c r="J87" i="1"/>
  <c r="K87" i="1" s="1"/>
  <c r="O87" i="1" s="1"/>
  <c r="J53" i="1"/>
  <c r="K53" i="1" s="1"/>
  <c r="O53" i="1" s="1"/>
  <c r="J67" i="1"/>
  <c r="K67" i="1" s="1"/>
  <c r="O67" i="1" s="1"/>
  <c r="J97" i="1"/>
  <c r="K97" i="1" s="1"/>
  <c r="O97" i="1" s="1"/>
  <c r="J90" i="1"/>
  <c r="K90" i="1" s="1"/>
  <c r="O90" i="1" s="1"/>
  <c r="J46" i="1"/>
  <c r="K46" i="1" s="1"/>
  <c r="O46" i="1" s="1"/>
  <c r="J39" i="1"/>
  <c r="K39" i="1" s="1"/>
  <c r="O39" i="1" s="1"/>
  <c r="J33" i="1"/>
  <c r="K33" i="1" s="1"/>
  <c r="O33" i="1" s="1"/>
  <c r="J34" i="1"/>
  <c r="K34" i="1" s="1"/>
  <c r="O34" i="1" s="1"/>
  <c r="J54" i="1"/>
  <c r="K54" i="1" s="1"/>
  <c r="O54" i="1" s="1"/>
  <c r="J47" i="1"/>
  <c r="K47" i="1" s="1"/>
  <c r="O47" i="1" s="1"/>
  <c r="J41" i="1"/>
  <c r="K41" i="1" s="1"/>
  <c r="O41" i="1" s="1"/>
  <c r="J8" i="1"/>
  <c r="K8" i="1" s="1"/>
  <c r="O8" i="1" s="1"/>
  <c r="J62" i="1"/>
  <c r="K62" i="1" s="1"/>
  <c r="O62" i="1" s="1"/>
  <c r="J27" i="1"/>
  <c r="K27" i="1" s="1"/>
  <c r="O27" i="1" s="1"/>
  <c r="J91" i="1"/>
  <c r="K91" i="1" s="1"/>
  <c r="O91" i="1" s="1"/>
  <c r="J55" i="1"/>
  <c r="K55" i="1" s="1"/>
  <c r="O55" i="1" s="1"/>
  <c r="J20" i="1"/>
  <c r="K20" i="1" s="1"/>
  <c r="O20" i="1" s="1"/>
  <c r="J84" i="1"/>
  <c r="K84" i="1" s="1"/>
  <c r="O84" i="1" s="1"/>
  <c r="J49" i="1"/>
  <c r="K49" i="1" s="1"/>
  <c r="O49" i="1" s="1"/>
  <c r="J21" i="1"/>
  <c r="K21" i="1" s="1"/>
  <c r="O21" i="1" s="1"/>
  <c r="J85" i="1"/>
  <c r="K85" i="1" s="1"/>
  <c r="O85" i="1" s="1"/>
  <c r="J50" i="1"/>
  <c r="K50" i="1" s="1"/>
  <c r="O50" i="1" s="1"/>
  <c r="J16" i="1"/>
  <c r="K16" i="1" s="1"/>
  <c r="O16" i="1" s="1"/>
  <c r="J80" i="1"/>
  <c r="K80" i="1" s="1"/>
  <c r="O80" i="1" s="1"/>
  <c r="J30" i="1"/>
  <c r="K30" i="1" s="1"/>
  <c r="O30" i="1" s="1"/>
  <c r="J52" i="1"/>
  <c r="K52" i="1" s="1"/>
  <c r="O52" i="1" s="1"/>
  <c r="J48" i="1"/>
  <c r="K48" i="1" s="1"/>
  <c r="O48" i="1" s="1"/>
  <c r="J3" i="1"/>
  <c r="K3" i="1" s="1"/>
  <c r="O3" i="1" s="1"/>
  <c r="J95" i="1"/>
  <c r="K95" i="1" s="1"/>
  <c r="O95" i="1" s="1"/>
  <c r="J61" i="1"/>
  <c r="K61" i="1" s="1"/>
  <c r="O61" i="1" s="1"/>
  <c r="J11" i="1"/>
  <c r="K11" i="1" s="1"/>
  <c r="O11" i="1" s="1"/>
  <c r="J4" i="1"/>
  <c r="K4" i="1" s="1"/>
  <c r="O4" i="1" s="1"/>
  <c r="J5" i="1"/>
  <c r="K5" i="1" s="1"/>
  <c r="O5" i="1" s="1"/>
  <c r="J98" i="1"/>
  <c r="K98" i="1" s="1"/>
  <c r="O98" i="1" s="1"/>
  <c r="J19" i="1"/>
  <c r="K19" i="1" s="1"/>
  <c r="O19" i="1" s="1"/>
  <c r="J76" i="1"/>
  <c r="K76" i="1" s="1"/>
  <c r="O76" i="1" s="1"/>
  <c r="J77" i="1"/>
  <c r="K77" i="1" s="1"/>
  <c r="O77" i="1" s="1"/>
  <c r="J72" i="1"/>
  <c r="K72" i="1" s="1"/>
  <c r="O72" i="1" s="1"/>
  <c r="J6" i="1"/>
  <c r="K6" i="1" s="1"/>
  <c r="O6" i="1" s="1"/>
  <c r="J70" i="1"/>
  <c r="K70" i="1" s="1"/>
  <c r="O70" i="1" s="1"/>
  <c r="J35" i="1"/>
  <c r="K35" i="1" s="1"/>
  <c r="O35" i="1" s="1"/>
  <c r="J99" i="1"/>
  <c r="K99" i="1" s="1"/>
  <c r="O99" i="1" s="1"/>
  <c r="J63" i="1"/>
  <c r="K63" i="1" s="1"/>
  <c r="O63" i="1" s="1"/>
  <c r="J28" i="1"/>
  <c r="K28" i="1" s="1"/>
  <c r="O28" i="1" s="1"/>
  <c r="J92" i="1"/>
  <c r="K92" i="1" s="1"/>
  <c r="O92" i="1" s="1"/>
  <c r="J57" i="1"/>
  <c r="K57" i="1" s="1"/>
  <c r="O57" i="1" s="1"/>
  <c r="J29" i="1"/>
  <c r="K29" i="1" s="1"/>
  <c r="O29" i="1" s="1"/>
  <c r="J93" i="1"/>
  <c r="K93" i="1" s="1"/>
  <c r="O93" i="1" s="1"/>
  <c r="J58" i="1"/>
  <c r="K58" i="1" s="1"/>
  <c r="O58" i="1" s="1"/>
  <c r="J24" i="1"/>
  <c r="K24" i="1" s="1"/>
  <c r="O24" i="1" s="1"/>
  <c r="J88" i="1"/>
  <c r="K88" i="1" s="1"/>
  <c r="O88" i="1" s="1"/>
  <c r="J23" i="1"/>
  <c r="K23" i="1" s="1"/>
  <c r="O23" i="1" s="1"/>
  <c r="J89" i="1"/>
  <c r="K89" i="1" s="1"/>
  <c r="O89" i="1" s="1"/>
  <c r="J18" i="1"/>
  <c r="K18" i="1" s="1"/>
  <c r="O18" i="1" s="1"/>
  <c r="J38" i="1"/>
  <c r="K38" i="1" s="1"/>
  <c r="O38" i="1" s="1"/>
  <c r="J31" i="1"/>
  <c r="K31" i="1" s="1"/>
  <c r="O31" i="1" s="1"/>
  <c r="J25" i="1"/>
  <c r="K25" i="1" s="1"/>
  <c r="O25" i="1" s="1"/>
  <c r="J26" i="1"/>
  <c r="K26" i="1" s="1"/>
  <c r="O26" i="1" s="1"/>
  <c r="J75" i="1"/>
  <c r="K75" i="1" s="1"/>
  <c r="O75" i="1" s="1"/>
  <c r="J68" i="1"/>
  <c r="K68" i="1" s="1"/>
  <c r="O68" i="1" s="1"/>
  <c r="J69" i="1"/>
  <c r="K69" i="1" s="1"/>
  <c r="O69" i="1" s="1"/>
  <c r="J64" i="1"/>
  <c r="K64" i="1" s="1"/>
  <c r="O64" i="1" s="1"/>
  <c r="J83" i="1"/>
  <c r="K83" i="1" s="1"/>
  <c r="O83" i="1" s="1"/>
  <c r="J12" i="1"/>
  <c r="K12" i="1" s="1"/>
  <c r="O12" i="1" s="1"/>
  <c r="J13" i="1"/>
  <c r="K13" i="1" s="1"/>
  <c r="O13" i="1" s="1"/>
  <c r="J42" i="1"/>
  <c r="K42" i="1" s="1"/>
  <c r="O42" i="1" s="1"/>
  <c r="J14" i="1"/>
  <c r="K14" i="1" s="1"/>
  <c r="O14" i="1" s="1"/>
  <c r="J78" i="1"/>
  <c r="K78" i="1" s="1"/>
  <c r="O78" i="1" s="1"/>
  <c r="J43" i="1"/>
  <c r="K43" i="1" s="1"/>
  <c r="O43" i="1" s="1"/>
  <c r="J7" i="1"/>
  <c r="K7" i="1" s="1"/>
  <c r="O7" i="1" s="1"/>
  <c r="J71" i="1"/>
  <c r="K71" i="1" s="1"/>
  <c r="O71" i="1" s="1"/>
  <c r="J36" i="1"/>
  <c r="K36" i="1" s="1"/>
  <c r="O36" i="1" s="1"/>
  <c r="J100" i="1"/>
  <c r="K100" i="1" s="1"/>
  <c r="O100" i="1" s="1"/>
  <c r="J73" i="1"/>
  <c r="K73" i="1" s="1"/>
  <c r="O73" i="1" s="1"/>
  <c r="J37" i="1"/>
  <c r="K37" i="1" s="1"/>
  <c r="O37" i="1" s="1"/>
  <c r="J101" i="1"/>
  <c r="K101" i="1" s="1"/>
  <c r="O101" i="1" s="1"/>
  <c r="J66" i="1"/>
  <c r="K66" i="1" s="1"/>
  <c r="O66" i="1" s="1"/>
  <c r="J32" i="1"/>
  <c r="K32" i="1" s="1"/>
  <c r="O32" i="1" s="1"/>
  <c r="J96" i="1"/>
  <c r="K96" i="1" s="1"/>
  <c r="O96" i="1" s="1"/>
  <c r="J94" i="1"/>
  <c r="K94" i="1" s="1"/>
  <c r="O94" i="1" s="1"/>
  <c r="J17" i="1"/>
  <c r="K17" i="1" s="1"/>
  <c r="O17" i="1" s="1"/>
  <c r="J82" i="1"/>
  <c r="K82" i="1" s="1"/>
  <c r="O82" i="1" s="1"/>
  <c r="J60" i="1"/>
  <c r="K60" i="1" s="1"/>
  <c r="O60" i="1" s="1"/>
  <c r="J56" i="1"/>
  <c r="K56" i="1" s="1"/>
  <c r="O56" i="1" s="1"/>
  <c r="J22" i="1"/>
  <c r="K22" i="1" s="1"/>
  <c r="O22" i="1" s="1"/>
  <c r="J86" i="1"/>
  <c r="K86" i="1" s="1"/>
  <c r="O86" i="1" s="1"/>
  <c r="J51" i="1"/>
  <c r="K51" i="1" s="1"/>
  <c r="O51" i="1" s="1"/>
  <c r="J15" i="1"/>
  <c r="K15" i="1" s="1"/>
  <c r="O15" i="1" s="1"/>
  <c r="J79" i="1"/>
  <c r="K79" i="1" s="1"/>
  <c r="O79" i="1" s="1"/>
  <c r="J44" i="1"/>
  <c r="K44" i="1" s="1"/>
  <c r="O44" i="1" s="1"/>
  <c r="J9" i="1"/>
  <c r="K9" i="1" s="1"/>
  <c r="O9" i="1" s="1"/>
  <c r="J81" i="1"/>
  <c r="K81" i="1" s="1"/>
  <c r="O81" i="1" s="1"/>
  <c r="J45" i="1"/>
  <c r="K45" i="1" s="1"/>
  <c r="O45" i="1" s="1"/>
  <c r="J10" i="1"/>
  <c r="K10" i="1" s="1"/>
  <c r="O10" i="1" s="1"/>
  <c r="J74" i="1"/>
  <c r="K74" i="1" s="1"/>
  <c r="O74" i="1" s="1"/>
  <c r="J40" i="1"/>
  <c r="K40" i="1" s="1"/>
  <c r="O40" i="1" s="1"/>
  <c r="J65" i="1"/>
  <c r="K65" i="1" s="1"/>
  <c r="O65" i="1" s="1"/>
  <c r="J2" i="1"/>
  <c r="K2" i="1" s="1"/>
  <c r="O2" i="1" s="1"/>
  <c r="B5" i="2" l="1"/>
  <c r="B1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<sst xmlns="http://schemas.openxmlformats.org/spreadsheetml/2006/main" count="157" uniqueCount="147">
  <si>
    <t>Order ID</t>
  </si>
  <si>
    <t>Order Date</t>
  </si>
  <si>
    <t>Region</t>
  </si>
  <si>
    <t>Salesperson</t>
  </si>
  <si>
    <t>Product</t>
  </si>
  <si>
    <t>Category</t>
  </si>
  <si>
    <t>Quantity</t>
  </si>
  <si>
    <t>Unit Price</t>
  </si>
  <si>
    <t>Sales</t>
  </si>
  <si>
    <t>Cost</t>
  </si>
  <si>
    <t>Profit</t>
  </si>
  <si>
    <t>Target</t>
  </si>
  <si>
    <t>Month</t>
  </si>
  <si>
    <t>E-001</t>
  </si>
  <si>
    <t>E-002</t>
  </si>
  <si>
    <t>E-003</t>
  </si>
  <si>
    <t>E-004</t>
  </si>
  <si>
    <t>E-005</t>
  </si>
  <si>
    <t>E-006</t>
  </si>
  <si>
    <t>E-007</t>
  </si>
  <si>
    <t>E-008</t>
  </si>
  <si>
    <t>E-009</t>
  </si>
  <si>
    <t>E-010</t>
  </si>
  <si>
    <t>E-011</t>
  </si>
  <si>
    <t>E-012</t>
  </si>
  <si>
    <t>E-013</t>
  </si>
  <si>
    <t>E-014</t>
  </si>
  <si>
    <t>E-015</t>
  </si>
  <si>
    <t>E-016</t>
  </si>
  <si>
    <t>E-017</t>
  </si>
  <si>
    <t>E-018</t>
  </si>
  <si>
    <t>E-019</t>
  </si>
  <si>
    <t>E-020</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</si>
  <si>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</si>
  <si>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</si>
  <si>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</si>
  <si>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</si>
  <si>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</si>
  <si>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</si>
  <si>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</si>
  <si>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</si>
  <si>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</si>
  <si>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</si>
  <si>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</si>
  <si>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</si>
  <si>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</si>
  <si>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</si>
  <si>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</si>
  <si>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</si>
  <si>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</si>
  <si>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</si>
  <si>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</si>
  <si>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</si>
  <si>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</si>
  <si>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</si>
  <si>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</si>
  <si>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</si>
  <si>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</si>
  <si>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E-046</t>
  </si>
  <si>
    <t>E-047</t>
  </si>
  <si>
    <t>E-048</t>
  </si>
  <si>
    <t>E-049</t>
  </si>
  <si>
    <t>E-050</t>
  </si>
  <si>
    <t>E-051</t>
  </si>
  <si>
    <t>E-052</t>
  </si>
  <si>
    <t>E-053</t>
  </si>
  <si>
    <t>E-054</t>
  </si>
  <si>
    <t>E-055</t>
  </si>
  <si>
    <t>E-056</t>
  </si>
  <si>
    <t>E-057</t>
  </si>
  <si>
    <t>E-058</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</si>
  <si>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</si>
  <si>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</si>
  <si>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</si>
  <si>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</si>
  <si>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</si>
  <si>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</si>
  <si>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</si>
  <si>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</si>
  <si>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</si>
  <si>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</si>
  <si>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</si>
  <si>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</si>
  <si>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</si>
  <si>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</si>
  <si>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</si>
  <si>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</si>
  <si>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</si>
  <si>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</si>
  <si>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</si>
  <si>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</si>
  <si>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</si>
  <si>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</si>
  <si>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</si>
  <si>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</si>
  <si>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</si>
  <si>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E-084</t>
  </si>
  <si>
    <t>E-085</t>
  </si>
  <si>
    <t>E-086</t>
  </si>
  <si>
    <t>E-087</t>
  </si>
  <si>
    <t>E-088</t>
  </si>
  <si>
    <t>E-089</t>
  </si>
  <si>
    <t>E-090</t>
  </si>
  <si>
    <t>E-091</t>
  </si>
  <si>
    <t>E-092</t>
  </si>
  <si>
    <t>E-093</t>
  </si>
  <si>
    <t>E-094</t>
  </si>
  <si>
    <t>E-095</t>
  </si>
  <si>
    <t>E-096</t>
  </si>
  <si>
    <t>E-097</t>
  </si>
  <si>
    <t>E-098</t>
  </si>
  <si>
    <t>E-099</t>
  </si>
  <si>
    <t>E-100</t>
  </si>
  <si>
    <t>Year</t>
  </si>
  <si>
    <t>Profit Margin</t>
  </si>
  <si>
    <t>Total sales</t>
  </si>
  <si>
    <t>Total Profit</t>
  </si>
  <si>
    <t>Total Orders</t>
  </si>
  <si>
    <t>Avg Order Value</t>
  </si>
  <si>
    <t>Total target</t>
  </si>
  <si>
    <t xml:space="preserve">Target Achievement </t>
  </si>
  <si>
    <t>Row Labels</t>
  </si>
  <si>
    <t>Grand Total</t>
  </si>
  <si>
    <t>Sum of Sales</t>
  </si>
  <si>
    <t>Apr</t>
  </si>
  <si>
    <t>May</t>
  </si>
  <si>
    <t>Jun</t>
  </si>
  <si>
    <t>Jul</t>
  </si>
  <si>
    <t>Monthly Sales Trend</t>
  </si>
  <si>
    <t>Line Chart of monthly sales trend</t>
  </si>
  <si>
    <t>Sales by region</t>
  </si>
  <si>
    <t>East</t>
  </si>
  <si>
    <t>North</t>
  </si>
  <si>
    <t>South</t>
  </si>
  <si>
    <t>West</t>
  </si>
  <si>
    <t>Sum of Profit</t>
  </si>
  <si>
    <t>Accessories</t>
  </si>
  <si>
    <t>Computing</t>
  </si>
  <si>
    <t>Electronics</t>
  </si>
  <si>
    <t>Wearables</t>
  </si>
  <si>
    <t>Sales by Category</t>
  </si>
  <si>
    <t>TOP SALESMAN</t>
  </si>
  <si>
    <t>Alan</t>
  </si>
  <si>
    <t>Bob</t>
  </si>
  <si>
    <t>Charlie</t>
  </si>
  <si>
    <t>David</t>
  </si>
  <si>
    <t>Achievement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</si>
</sst>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4"/>
      <color theme="1"/>
      <name val="Calibri"/>
      <family val="2"/>
      <scheme val="minor"/>
    </font>
    <font>
      <b/>
      <sz val="16"/>
      <color theme="1"/>
      <name val="Calibri"/>
      <family val="2"/>
      <scheme val="minor"/>
    </font>
    <font>
      <sz val="16"/>
      <color theme="1"/>
      <name val="Calibri"/>
      <family val="2"/>
      <scheme val="minor"/>
    </font>
    <font>
      <b/>
      <sz val="11"/>
      <color rgb="FFFF0000"/>
      <name val="Calibri"/>
      <family val="2"/>
      <scheme val="minor"/>
    </font>
  </fonts>
  <fills count="11">
    <fill>
      <patternFill patternType="none"/>
    </fill>
    <fill>
      <patternFill patternType="gray125"/>
    </fill>
    <fill>
      <patternFill patternType="solid">
        <fgColor theme="5"/>
        <bgColor indexed="64"/>
      </patternFill>
    </fill>
    <fill>
      <patternFill patternType="solid">
        <fgColor rgb="FFFFC00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indexed="64"/>
      </left>
      <right/>
      <top style="thin">
        <color indexed="64"/>
      </top>
      <bottom style="thin">
        <color indexed="64"/>
      </bottom>
      <diagonal/>
    </border>
    <border>
      <left style="thin">
        <color theme="2" tint="-0.249977111117893"/>
      </left>
      <right style="thin">
        <color theme="2" tint="-0.249977111117893"/>
      </right>
      <top style="thin">
        <color theme="2" tint="-0.249977111117893"/>
      </top>
      <bottom style="thin">
        <color theme="2" tint="-0.249977111117893"/>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2" fillId="0" borderId="0" xfId="0" applyFont="1" applyAlignment="1">
      <alignment horizontal="center" vertical="center" wrapText="1"/>
    </xf>
    <xf numFmtId="14" fontId="0" fillId="0" borderId="0" xfId="0" applyNumberFormat="1"/>
    <xf numFmtId="9" fontId="0" fillId="0" borderId="0" xfId="1" applyFont="1"/>
    <xf numFmtId="1" fontId="2" fillId="0" borderId="0" xfId="0" applyNumberFormat="1" applyFont="1" applyAlignment="1">
      <alignment horizontal="center" vertical="center" wrapText="1"/>
    </xf>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5" fillId="2" borderId="0" xfId="0" applyFont="1" applyFill="1"/>
    <xf numFmtId="9" fontId="2" fillId="0" borderId="0" xfId="1" applyFont="1" applyAlignment="1">
      <alignment horizontal="center" vertical="center" wrapText="1"/>
    </xf>
    <xf numFmtId="0" fontId="2" fillId="0" borderId="1" xfId="0" applyFont="1" applyBorder="1"/>
    <xf numFmtId="9" fontId="2" fillId="0" borderId="1" xfId="1" applyFont="1" applyBorder="1"/>
    <xf numFmtId="1" fontId="2" fillId="0" borderId="1" xfId="0" applyNumberFormat="1" applyFont="1" applyBorder="1"/>
    <xf numFmtId="0" fontId="2" fillId="5" borderId="3" xfId="0" applyFont="1" applyFill="1" applyBorder="1" applyAlignment="1">
      <alignment horizontal="center"/>
    </xf>
    <xf numFmtId="0" fontId="7" fillId="0" borderId="2" xfId="0" applyFont="1" applyBorder="1"/>
    <xf numFmtId="0" fontId="2" fillId="6" borderId="3" xfId="0" applyFont="1" applyFill="1" applyBorder="1" applyAlignment="1">
      <alignment horizontal="center"/>
    </xf>
    <xf numFmtId="0" fontId="2" fillId="0" borderId="4" xfId="0" applyFont="1" applyBorder="1"/>
    <xf numFmtId="0" fontId="2" fillId="7" borderId="1" xfId="0" applyFont="1" applyFill="1" applyBorder="1" applyAlignment="1">
      <alignment horizontal="center"/>
    </xf>
    <xf numFmtId="0" fontId="2" fillId="8" borderId="1" xfId="0" applyFont="1" applyFill="1" applyBorder="1" applyAlignment="1">
      <alignment horizontal="center"/>
    </xf>
    <xf numFmtId="0" fontId="2" fillId="9" borderId="1" xfId="0" applyFont="1" applyFill="1" applyBorder="1" applyAlignment="1">
      <alignment horizontal="center"/>
    </xf>
    <xf numFmtId="0" fontId="2" fillId="5" borderId="1" xfId="0" applyFont="1" applyFill="1" applyBorder="1"/>
    <xf numFmtId="0" fontId="2" fillId="10" borderId="1" xfId="0" applyFont="1" applyFill="1" applyBorder="1"/>
    <xf numFmtId="0" fontId="4" fillId="3" borderId="0" xfId="0" applyFont="1" applyFill="1" applyAlignment="1">
      <alignment horizontal="center"/>
    </xf>
    <xf numFmtId="0" fontId="5" fillId="3" borderId="0" xfId="0" applyFont="1" applyFill="1" applyAlignment="1">
      <alignment horizontal="center"/>
    </xf>
    <xf numFmtId="0" fontId="0" fillId="0" borderId="0" xfId="0" applyAlignment="1">
      <alignment horizontal="center"/>
    </xf>
    <xf numFmtId="0" fontId="6" fillId="4" borderId="0" xfId="0" applyFont="1" applyFill="1" applyAlignment="1">
      <alignment horizontal="center"/>
    </xf>
    <xf numFmtId="0" fontId="2" fillId="3" borderId="0" xfId="0" applyFont="1" applyFill="1" applyAlignment="1">
      <alignment horizontal="center"/>
    </xf>
  </cellXfs>
  <cellStyles count="2">
    <cellStyle name="Normal" xfId="0" builtinId="0"/>
    <cellStyle name="Percent" xfId="1" builtinId="5"/>
  </cellStyles>
  <dxfs count="14">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numFmt numFmtId="13" formatCode="0%"/>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numFmt numFmtId="1" formatCode="0"/>
    </dxf>
    <dxf>
      <numFmt numFmtId="1" formatCode="0"/>
    </dxf>
    <dxf>
      <numFmt numFmtId="1" formatCode="0"/>
    </dxf>
    <dxf>
      <numFmt numFmtId="19" formatCode="dd/mm/yyyy"/>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1" defaultTableStyle="TableStyleMedium2" defaultPivotStyle="PivotStyleLight16">
    <tableStyle name="Invisible" pivot="0" table="0" count="0" xr9:uid="{AA095F97-9553-4056-89B3-DA12BB349D4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Performance dashboard.xlsx]Dashboard!PivotTable2</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Sales</a:t>
            </a:r>
            <a:r>
              <a:rPr lang="en-IN" baseline="0"/>
              <a:t>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Dashboard!$B$13</c:f>
              <c:strCache>
                <c:ptCount val="1"/>
                <c:pt idx="0">
                  <c:v>Sum of Sales</c:v>
                </c:pt>
              </c:strCache>
            </c:strRef>
          </c:tx>
          <c:spPr>
            <a:gradFill>
              <a:gsLst>
                <a:gs pos="100000">
                  <a:schemeClr val="accent1">
                    <a:alpha val="0"/>
                  </a:schemeClr>
                </a:gs>
                <a:gs pos="50000">
                  <a:schemeClr val="accent1"/>
                </a:gs>
              </a:gsLst>
              <a:lin ang="5400000" scaled="0"/>
            </a:gradFill>
            <a:ln>
              <a:noFill/>
            </a:ln>
            <a:effectLst/>
            <a:sp3d/>
          </c:spPr>
          <c:invertIfNegative val="0"/>
          <c:cat>
            <c:strRef>
              <c:f>Dashboard!$A$14:$A$18</c:f>
              <c:strCache>
                <c:ptCount val="4"/>
                <c:pt idx="0">
                  <c:v>East</c:v>
                </c:pt>
                <c:pt idx="1">
                  <c:v>North</c:v>
                </c:pt>
                <c:pt idx="2">
                  <c:v>South</c:v>
                </c:pt>
                <c:pt idx="3">
                  <c:v>West</c:v>
                </c:pt>
              </c:strCache>
            </c:strRef>
          </c:cat>
          <c:val>
            <c:numRef>
              <c:f>Dashboard!$B$14:$B$18</c:f>
              <c:numCache>
                <c:formatCode>General</c:formatCode>
                <c:ptCount val="4"/>
                <c:pt idx="0">
                  <c:v>65094</c:v>
                </c:pt>
                <c:pt idx="1">
                  <c:v>39834</c:v>
                </c:pt>
                <c:pt idx="2">
                  <c:v>87965</c:v>
                </c:pt>
                <c:pt idx="3">
                  <c:v>64514</c:v>
                </c:pt>
              </c:numCache>
            </c:numRef>
          </c:val>
          <c:extLst>
            <c:ext xmlns:c16="http://schemas.microsoft.com/office/drawing/2014/chart" uri="{C3380CC4-5D6E-409C-BE32-E72D297353CC}">
              <c16:uniqueId val="{00000000-14E6-4F0E-B716-56A29CAA82E2}"/>
            </c:ext>
          </c:extLst>
        </c:ser>
        <c:ser>
          <c:idx val="1"/>
          <c:order val="1"/>
          <c:tx>
            <c:strRef>
              <c:f>Dashboard!$C$13</c:f>
              <c:strCache>
                <c:ptCount val="1"/>
                <c:pt idx="0">
                  <c:v>Sum of Profit</c:v>
                </c:pt>
              </c:strCache>
            </c:strRef>
          </c:tx>
          <c:spPr>
            <a:gradFill>
              <a:gsLst>
                <a:gs pos="100000">
                  <a:schemeClr val="accent2">
                    <a:alpha val="0"/>
                  </a:schemeClr>
                </a:gs>
                <a:gs pos="50000">
                  <a:schemeClr val="accent2"/>
                </a:gs>
              </a:gsLst>
              <a:lin ang="5400000" scaled="0"/>
            </a:gradFill>
            <a:ln>
              <a:noFill/>
            </a:ln>
            <a:effectLst/>
            <a:sp3d/>
          </c:spPr>
          <c:invertIfNegative val="0"/>
          <c:cat>
            <c:strRef>
              <c:f>Dashboard!$A$14:$A$18</c:f>
              <c:strCache>
                <c:ptCount val="4"/>
                <c:pt idx="0">
                  <c:v>East</c:v>
                </c:pt>
                <c:pt idx="1">
                  <c:v>North</c:v>
                </c:pt>
                <c:pt idx="2">
                  <c:v>South</c:v>
                </c:pt>
                <c:pt idx="3">
                  <c:v>West</c:v>
                </c:pt>
              </c:strCache>
            </c:strRef>
          </c:cat>
          <c:val>
            <c:numRef>
              <c:f>Dashboard!$C$14:$C$18</c:f>
              <c:numCache>
                <c:formatCode>0</c:formatCode>
                <c:ptCount val="4"/>
                <c:pt idx="0">
                  <c:v>19528.2</c:v>
                </c:pt>
                <c:pt idx="1">
                  <c:v>11950.2</c:v>
                </c:pt>
                <c:pt idx="2">
                  <c:v>26389.5</c:v>
                </c:pt>
                <c:pt idx="3">
                  <c:v>19354.2</c:v>
                </c:pt>
              </c:numCache>
            </c:numRef>
          </c:val>
          <c:extLst>
            <c:ext xmlns:c16="http://schemas.microsoft.com/office/drawing/2014/chart" uri="{C3380CC4-5D6E-409C-BE32-E72D297353CC}">
              <c16:uniqueId val="{00000001-14E6-4F0E-B716-56A29CAA82E2}"/>
            </c:ext>
          </c:extLst>
        </c:ser>
        <c:dLbls>
          <c:showLegendKey val="0"/>
          <c:showVal val="0"/>
          <c:showCatName val="0"/>
          <c:showSerName val="0"/>
          <c:showPercent val="0"/>
          <c:showBubbleSize val="0"/>
        </c:dLbls>
        <c:gapWidth val="150"/>
        <c:gapDepth val="0"/>
        <c:shape val="box"/>
        <c:axId val="497949631"/>
        <c:axId val="497950111"/>
        <c:axId val="0"/>
      </c:bar3DChart>
      <c:catAx>
        <c:axId val="49794963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950111"/>
        <c:crosses val="autoZero"/>
        <c:auto val="1"/>
        <c:lblAlgn val="ctr"/>
        <c:lblOffset val="100"/>
        <c:noMultiLvlLbl val="0"/>
      </c:catAx>
      <c:valAx>
        <c:axId val="497950111"/>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94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Performance dashboard.xlsx]Dashboard!PivotTable3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Dashboard!$B$28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AF-44F4-B6ED-E54721051F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AF-44F4-B6ED-E54721051F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AF-44F4-B6ED-E54721051F8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DAF-44F4-B6ED-E54721051F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Dashboard!$A$29:$A$33</c:f>
              <c:strCache>
                <c:ptCount val="4"/>
                <c:pt idx="0">
                  <c:v>Accessories</c:v>
                </c:pt>
                <c:pt idx="1">
                  <c:v>Computing</c:v>
                </c:pt>
                <c:pt idx="2">
                  <c:v>Electronics</c:v>
                </c:pt>
                <c:pt idx="3">
                  <c:v>Wearables</c:v>
                </c:pt>
              </c:strCache>
            </c:strRef>
          </c:cat>
          <c:val>
            <c:numRef>
              <c:f>Dashboard!$B$29:$B$33</c:f>
              <c:numCache>
                <c:formatCode>General</c:formatCode>
                <c:ptCount val="4"/>
                <c:pt idx="0">
                  <c:v>34878</c:v>
                </c:pt>
                <c:pt idx="1">
                  <c:v>76041</c:v>
                </c:pt>
                <c:pt idx="2">
                  <c:v>92265</c:v>
                </c:pt>
                <c:pt idx="3">
                  <c:v>54223</c:v>
                </c:pt>
              </c:numCache>
            </c:numRef>
          </c:val>
          <c:extLst>
            <c:ext xmlns:c16="http://schemas.microsoft.com/office/drawing/2014/chart" uri="{C3380CC4-5D6E-409C-BE32-E72D297353CC}">
              <c16:uniqueId val="{00000000-D3CD-4589-807A-397B504713D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Performance dashboard.xlsx]Dashboard!PivotTable4</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Sales</a:t>
            </a:r>
            <a:r>
              <a:rPr lang="en-US" baseline="0"/>
              <a:t> by Salesperson</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Dashboard!$B$41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Dashboard!$A$42:$A$46</c:f>
              <c:strCache>
                <c:ptCount val="4"/>
                <c:pt idx="0">
                  <c:v>Bob</c:v>
                </c:pt>
                <c:pt idx="1">
                  <c:v>David</c:v>
                </c:pt>
                <c:pt idx="2">
                  <c:v>Charlie</c:v>
                </c:pt>
                <c:pt idx="3">
                  <c:v>Alan</c:v>
                </c:pt>
              </c:strCache>
            </c:strRef>
          </c:cat>
          <c:val>
            <c:numRef>
              <c:f>Dashboard!$B$42:$B$46</c:f>
              <c:numCache>
                <c:formatCode>General</c:formatCode>
                <c:ptCount val="4"/>
                <c:pt idx="0">
                  <c:v>74921</c:v>
                </c:pt>
                <c:pt idx="1">
                  <c:v>70894</c:v>
                </c:pt>
                <c:pt idx="2">
                  <c:v>62399</c:v>
                </c:pt>
                <c:pt idx="3">
                  <c:v>49193</c:v>
                </c:pt>
              </c:numCache>
            </c:numRef>
          </c:val>
          <c:extLst>
            <c:ext xmlns:c16="http://schemas.microsoft.com/office/drawing/2014/chart" uri="{C3380CC4-5D6E-409C-BE32-E72D297353CC}">
              <c16:uniqueId val="{00000000-D562-42C0-AD84-ECCC0EC8913B}"/>
            </c:ext>
          </c:extLst>
        </c:ser>
        <c:dLbls>
          <c:dLblPos val="outEnd"/>
          <c:showLegendKey val="0"/>
          <c:showVal val="1"/>
          <c:showCatName val="0"/>
          <c:showSerName val="0"/>
          <c:showPercent val="0"/>
          <c:showBubbleSize val="0"/>
        </c:dLbls>
        <c:gapWidth val="41"/>
        <c:axId val="506135439"/>
        <c:axId val="506130639"/>
      </c:barChart>
      <c:catAx>
        <c:axId val="506135439"/>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r>
                  <a:rPr lang="en-IN" sz="1200" b="1"/>
                  <a:t>Salesperson</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06130639"/>
        <c:crosses val="autoZero"/>
        <c:auto val="1"/>
        <c:lblAlgn val="ctr"/>
        <c:lblOffset val="100"/>
        <c:noMultiLvlLbl val="0"/>
      </c:catAx>
      <c:valAx>
        <c:axId val="506130639"/>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r>
                  <a:rPr lang="en-IN" sz="1400"/>
                  <a:t>Sales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0613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588818</xdr:colOff>
      <xdr:row>9</xdr:row>
      <xdr:rowOff>164523</xdr:rowOff>
    </xdr:from>
    <xdr:to>
      <xdr:col>8</xdr:col>
      <xdr:colOff>409402</xdr:colOff>
      <xdr:row>21</xdr:row>
      <xdr:rowOff>43296</xdr:rowOff>
    </xdr:to>
    <xdr:graphicFrame macro="">
      <xdr:nvGraphicFramePr>
        <xdr:cNvPr id="3" name="Chart 2">
          <a:extLst>
            <a:ext uri="{FF2B5EF4-FFF2-40B4-BE49-F238E27FC236}">
              <a16:creationId xmlns:a16="http://schemas.microsoft.com/office/drawing/2014/main" id="{C2472AD8-E37E-FB1E-A9B7-A41A3DF8DA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xdr:colOff>
      <xdr:row>25</xdr:row>
      <xdr:rowOff>7620</xdr:rowOff>
    </xdr:from>
    <xdr:to>
      <xdr:col>5</xdr:col>
      <xdr:colOff>121920</xdr:colOff>
      <xdr:row>35</xdr:row>
      <xdr:rowOff>99060</xdr:rowOff>
    </xdr:to>
    <xdr:graphicFrame macro="">
      <xdr:nvGraphicFramePr>
        <xdr:cNvPr id="4" name="Chart 3">
          <a:extLst>
            <a:ext uri="{FF2B5EF4-FFF2-40B4-BE49-F238E27FC236}">
              <a16:creationId xmlns:a16="http://schemas.microsoft.com/office/drawing/2014/main" id="{786FE9AC-4FBF-BE66-D7FD-CF72E56D0B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30480</xdr:colOff>
      <xdr:row>39</xdr:row>
      <xdr:rowOff>45720</xdr:rowOff>
    </xdr:from>
    <xdr:to>
      <xdr:col>7</xdr:col>
      <xdr:colOff>563880</xdr:colOff>
      <xdr:row>49</xdr:row>
      <xdr:rowOff>45720</xdr:rowOff>
    </xdr:to>
    <xdr:graphicFrame macro="">
      <xdr:nvGraphicFramePr>
        <xdr:cNvPr id="5" name="Chart 4">
          <a:extLst>
            <a:ext uri="{FF2B5EF4-FFF2-40B4-BE49-F238E27FC236}">
              <a16:creationId xmlns:a16="http://schemas.microsoft.com/office/drawing/2014/main" id="{0B11241A-9B25-F993-BCDC-9D075EA6C5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7435</xdr:colOff>
      <xdr:row>8</xdr:row>
      <xdr:rowOff>19510</xdr:rowOff>
    </xdr:from>
    <xdr:to>
      <xdr:col>10</xdr:col>
      <xdr:colOff>472824</xdr:colOff>
      <xdr:row>13</xdr:row>
      <xdr:rowOff>232589</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63C58E67-305A-4CF1-BA44-8502622BBD8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05549" y="1949910"/>
              <a:ext cx="1074989" cy="14105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9537</xdr:colOff>
      <xdr:row>1</xdr:row>
      <xdr:rowOff>17044</xdr:rowOff>
    </xdr:from>
    <xdr:to>
      <xdr:col>13</xdr:col>
      <xdr:colOff>184532</xdr:colOff>
      <xdr:row>6</xdr:row>
      <xdr:rowOff>130530</xdr:rowOff>
    </xdr:to>
    <mc:AlternateContent xmlns:mc="http://schemas.openxmlformats.org/markup-compatibility/2006" xmlns:a14="http://schemas.microsoft.com/office/drawing/2010/main">
      <mc:Choice Requires="a14">
        <xdr:graphicFrame macro="">
          <xdr:nvGraphicFramePr>
            <xdr:cNvPr id="17" name="Salesperson">
              <a:extLst>
                <a:ext uri="{FF2B5EF4-FFF2-40B4-BE49-F238E27FC236}">
                  <a16:creationId xmlns:a16="http://schemas.microsoft.com/office/drawing/2014/main" id="{8B33BF1E-49B9-33D3-A2E5-E62EA9A35048}"/>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9726851" y="300073"/>
              <a:ext cx="1394195" cy="139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605253</xdr:colOff>
      <xdr:row>8</xdr:row>
      <xdr:rowOff>10208</xdr:rowOff>
    </xdr:from>
    <xdr:to>
      <xdr:col>12</xdr:col>
      <xdr:colOff>586150</xdr:colOff>
      <xdr:row>13</xdr:row>
      <xdr:rowOff>216260</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B4FCAF2A-361A-BE15-5B5B-99B174F20BF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712967" y="1940608"/>
              <a:ext cx="1200097" cy="1403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5495</xdr:colOff>
      <xdr:row>1</xdr:row>
      <xdr:rowOff>21267</xdr:rowOff>
    </xdr:from>
    <xdr:to>
      <xdr:col>10</xdr:col>
      <xdr:colOff>500112</xdr:colOff>
      <xdr:row>6</xdr:row>
      <xdr:rowOff>138593</xdr:rowOff>
    </xdr:to>
    <mc:AlternateContent xmlns:mc="http://schemas.openxmlformats.org/markup-compatibility/2006" xmlns:a14="http://schemas.microsoft.com/office/drawing/2010/main">
      <mc:Choice Requires="a14">
        <xdr:graphicFrame macro="">
          <xdr:nvGraphicFramePr>
            <xdr:cNvPr id="19" name="Month">
              <a:extLst>
                <a:ext uri="{FF2B5EF4-FFF2-40B4-BE49-F238E27FC236}">
                  <a16:creationId xmlns:a16="http://schemas.microsoft.com/office/drawing/2014/main" id="{C2A0AC1F-68BB-53DF-32FB-F1ACAF86EDD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03609" y="304296"/>
              <a:ext cx="1104217" cy="1401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jesh Kushwaha" refreshedDate="46076.474477083335" createdVersion="8" refreshedVersion="8" minRefreshableVersion="3" recordCount="100" xr:uid="{7F321C4C-DA0D-4C22-83B8-1AD4218143DA}">
  <cacheSource type="worksheet">
    <worksheetSource name="Sales_Data"/>
  </cacheSource>
  <cacheFields count="16">
    <cacheField name="Order ID" numFmtId="0">
      <sharedItems/>
    </cacheField>
    <cacheField name="Order Date" numFmtId="14">
      <sharedItems containsSemiMixedTypes="0" containsNonDate="0" containsDate="1" containsString="0" minDate="2025-04-01T00:00:00" maxDate="2025-07-10T00:00:00" count="1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sharedItems>
      <fieldGroup par="15"/>
    </cacheField>
    <cacheField name="Region" numFmtId="0">
      <sharedItems count="4">
        <s v="South"/>
        <s v="West"/>
        <s v="East"/>
        <s v="North"/>
      </sharedItems>
    </cacheField>
    <cacheField name="Salesperson" numFmtId="0">
      <sharedItems count="4">
        <s v="David"/>
        <s v="Alan"/>
        <s v="Charlie"/>
        <s v="Bob"/>
      </sharedItems>
    </cacheField>
    <cacheField name="Product" numFmtId="0">
      <sharedItems/>
    </cacheField>
    <cacheField name="Category" numFmtId="0">
      <sharedItems count="4">
        <s v="Computing"/>
        <s v="Electronics"/>
        <s v="Accessories"/>
        <s v="Wearables"/>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108" maxValue="999"/>
    </cacheField>
    <cacheField name="Sales" numFmtId="0">
      <sharedItems containsSemiMixedTypes="0" containsString="0" containsNumber="1" containsInteger="1" minValue="137" maxValue="9270"/>
    </cacheField>
    <cacheField name="Cost" numFmtId="1">
      <sharedItems containsSemiMixedTypes="0" containsString="0" containsNumber="1" minValue="95.899999999999991" maxValue="6489"/>
    </cacheField>
    <cacheField name="Profit" numFmtId="1">
      <sharedItems containsSemiMixedTypes="0" containsString="0" containsNumber="1" minValue="41.100000000000009" maxValue="2781"/>
    </cacheField>
    <cacheField name="Target" numFmtId="1">
      <sharedItems containsSemiMixedTypes="0" containsString="0" containsNumber="1" containsInteger="1" minValue="2525" maxValue="4994"/>
    </cacheField>
    <cacheField name="Month" numFmtId="0">
      <sharedItems count="4">
        <s v="Apr"/>
        <s v="May"/>
        <s v="Jun"/>
        <s v="Jul"/>
      </sharedItems>
    </cacheField>
    <cacheField name="Year" numFmtId="0">
      <sharedItems count="1">
        <s v="2025"/>
      </sharedItems>
    </cacheField>
    <cacheField name="Profit Margin" numFmtId="9">
      <sharedItems containsSemiMixedTypes="0" containsString="0" containsNumber="1" minValue="0.3" maxValue="0.3000000000000001"/>
    </cacheField>
    <cacheField name="Months (Order Date)" numFmtId="0" databaseField="0">
      <fieldGroup base="1">
        <rangePr groupBy="months" startDate="2025-04-01T00:00:00" endDate="2025-07-10T00:00:00"/>
        <groupItems count="14">
          <s v="&lt;01-04-2025"/>
          <s v="Jan"/>
          <s v="Feb"/>
          <s v="Mar"/>
          <s v="Apr"/>
          <s v="May"/>
          <s v="Jun"/>
          <s v="Jul"/>
          <s v="Aug"/>
          <s v="Sep"/>
          <s v="Oct"/>
          <s v="Nov"/>
          <s v="Dec"/>
          <s v="&gt;10-07-2025"/>
        </groupItems>
      </fieldGroup>
    </cacheField>
  </cacheFields>
  <extLst>
    <ext xmlns:x14="http://schemas.microsoft.com/office/spreadsheetml/2009/9/main" uri="{725AE2AE-9491-48be-B2B4-4EB974FC3084}">
      <x14:pivotCacheDefinition pivotCacheId="13186611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E-001"/>
    <x v="0"/>
    <x v="0"/>
    <x v="0"/>
    <s v="PC"/>
    <x v="0"/>
    <n v="2"/>
    <n v="595"/>
    <n v="1190"/>
    <n v="833"/>
    <n v="357"/>
    <n v="4377"/>
    <x v="0"/>
    <x v="0"/>
    <n v="0.3"/>
  </r>
  <r>
    <s v="E-002"/>
    <x v="1"/>
    <x v="1"/>
    <x v="0"/>
    <s v="Tablet"/>
    <x v="1"/>
    <n v="1"/>
    <n v="137"/>
    <n v="137"/>
    <n v="95.899999999999991"/>
    <n v="41.100000000000009"/>
    <n v="2792"/>
    <x v="0"/>
    <x v="0"/>
    <n v="0.30000000000000004"/>
  </r>
  <r>
    <s v="E-003"/>
    <x v="2"/>
    <x v="1"/>
    <x v="1"/>
    <s v="Smartphone"/>
    <x v="1"/>
    <n v="10"/>
    <n v="927"/>
    <n v="9270"/>
    <n v="6489"/>
    <n v="2781"/>
    <n v="3064"/>
    <x v="0"/>
    <x v="0"/>
    <n v="0.3"/>
  </r>
  <r>
    <s v="E-004"/>
    <x v="3"/>
    <x v="2"/>
    <x v="2"/>
    <s v="Headphones"/>
    <x v="2"/>
    <n v="5"/>
    <n v="818"/>
    <n v="4090"/>
    <n v="2863"/>
    <n v="1227"/>
    <n v="3426"/>
    <x v="0"/>
    <x v="0"/>
    <n v="0.3"/>
  </r>
  <r>
    <s v="E-005"/>
    <x v="4"/>
    <x v="2"/>
    <x v="1"/>
    <s v="Tablet"/>
    <x v="1"/>
    <n v="4"/>
    <n v="742"/>
    <n v="2968"/>
    <n v="2077.6"/>
    <n v="890.40000000000009"/>
    <n v="4860"/>
    <x v="0"/>
    <x v="0"/>
    <n v="0.30000000000000004"/>
  </r>
  <r>
    <s v="E-006"/>
    <x v="5"/>
    <x v="1"/>
    <x v="0"/>
    <s v="Headphones"/>
    <x v="2"/>
    <n v="1"/>
    <n v="826"/>
    <n v="826"/>
    <n v="578.19999999999993"/>
    <n v="247.80000000000007"/>
    <n v="4003"/>
    <x v="0"/>
    <x v="0"/>
    <n v="0.3000000000000001"/>
  </r>
  <r>
    <s v="E-007"/>
    <x v="6"/>
    <x v="2"/>
    <x v="3"/>
    <s v="Smartphone"/>
    <x v="1"/>
    <n v="9"/>
    <n v="907"/>
    <n v="8163"/>
    <n v="5714.0999999999995"/>
    <n v="2448.9000000000005"/>
    <n v="2562"/>
    <x v="0"/>
    <x v="0"/>
    <n v="0.30000000000000004"/>
  </r>
  <r>
    <s v="E-008"/>
    <x v="7"/>
    <x v="1"/>
    <x v="1"/>
    <s v="Tablet"/>
    <x v="1"/>
    <n v="7"/>
    <n v="175"/>
    <n v="1225"/>
    <n v="857.5"/>
    <n v="367.5"/>
    <n v="4685"/>
    <x v="0"/>
    <x v="0"/>
    <n v="0.3"/>
  </r>
  <r>
    <s v="E-009"/>
    <x v="8"/>
    <x v="2"/>
    <x v="0"/>
    <s v="Tablet"/>
    <x v="1"/>
    <n v="2"/>
    <n v="188"/>
    <n v="376"/>
    <n v="263.2"/>
    <n v="112.80000000000001"/>
    <n v="4175"/>
    <x v="0"/>
    <x v="0"/>
    <n v="0.30000000000000004"/>
  </r>
  <r>
    <s v="E-010"/>
    <x v="9"/>
    <x v="0"/>
    <x v="2"/>
    <s v="Laptop"/>
    <x v="0"/>
    <n v="8"/>
    <n v="760"/>
    <n v="6080"/>
    <n v="4256"/>
    <n v="1824"/>
    <n v="4339"/>
    <x v="0"/>
    <x v="0"/>
    <n v="0.3"/>
  </r>
  <r>
    <s v="E-011"/>
    <x v="10"/>
    <x v="0"/>
    <x v="0"/>
    <s v="Tablet"/>
    <x v="1"/>
    <n v="1"/>
    <n v="794"/>
    <n v="794"/>
    <n v="555.79999999999995"/>
    <n v="238.20000000000005"/>
    <n v="3557"/>
    <x v="0"/>
    <x v="0"/>
    <n v="0.30000000000000004"/>
  </r>
  <r>
    <s v="E-012"/>
    <x v="11"/>
    <x v="2"/>
    <x v="1"/>
    <s v="Laptop"/>
    <x v="0"/>
    <n v="10"/>
    <n v="181"/>
    <n v="1810"/>
    <n v="1267"/>
    <n v="543"/>
    <n v="4771"/>
    <x v="0"/>
    <x v="0"/>
    <n v="0.3"/>
  </r>
  <r>
    <s v="E-013"/>
    <x v="12"/>
    <x v="3"/>
    <x v="3"/>
    <s v="Laptop"/>
    <x v="0"/>
    <n v="7"/>
    <n v="363"/>
    <n v="2541"/>
    <n v="1778.6999999999998"/>
    <n v="762.30000000000018"/>
    <n v="4851"/>
    <x v="0"/>
    <x v="0"/>
    <n v="0.30000000000000004"/>
  </r>
  <r>
    <s v="E-014"/>
    <x v="13"/>
    <x v="2"/>
    <x v="2"/>
    <s v="PC"/>
    <x v="0"/>
    <n v="3"/>
    <n v="999"/>
    <n v="2997"/>
    <n v="2097.9"/>
    <n v="899.09999999999991"/>
    <n v="3681"/>
    <x v="0"/>
    <x v="0"/>
    <n v="0.3"/>
  </r>
  <r>
    <s v="E-015"/>
    <x v="14"/>
    <x v="2"/>
    <x v="1"/>
    <s v="PC"/>
    <x v="0"/>
    <n v="3"/>
    <n v="546"/>
    <n v="1638"/>
    <n v="1146.5999999999999"/>
    <n v="491.40000000000009"/>
    <n v="4654"/>
    <x v="0"/>
    <x v="0"/>
    <n v="0.30000000000000004"/>
  </r>
  <r>
    <s v="E-016"/>
    <x v="15"/>
    <x v="1"/>
    <x v="1"/>
    <s v="PC"/>
    <x v="0"/>
    <n v="1"/>
    <n v="525"/>
    <n v="525"/>
    <n v="367.5"/>
    <n v="157.5"/>
    <n v="3934"/>
    <x v="0"/>
    <x v="0"/>
    <n v="0.3"/>
  </r>
  <r>
    <s v="E-017"/>
    <x v="16"/>
    <x v="3"/>
    <x v="1"/>
    <s v="PC"/>
    <x v="0"/>
    <n v="3"/>
    <n v="192"/>
    <n v="576"/>
    <n v="403.2"/>
    <n v="172.8"/>
    <n v="4452"/>
    <x v="0"/>
    <x v="0"/>
    <n v="0.30000000000000004"/>
  </r>
  <r>
    <s v="E-018"/>
    <x v="17"/>
    <x v="3"/>
    <x v="1"/>
    <s v="Smartphone"/>
    <x v="1"/>
    <n v="2"/>
    <n v="506"/>
    <n v="1012"/>
    <n v="708.4"/>
    <n v="303.60000000000002"/>
    <n v="4973"/>
    <x v="0"/>
    <x v="0"/>
    <n v="0.30000000000000004"/>
  </r>
  <r>
    <s v="E-019"/>
    <x v="18"/>
    <x v="0"/>
    <x v="3"/>
    <s v="Smartphone"/>
    <x v="1"/>
    <n v="10"/>
    <n v="338"/>
    <n v="3380"/>
    <n v="2366"/>
    <n v="1014"/>
    <n v="4395"/>
    <x v="0"/>
    <x v="0"/>
    <n v="0.3"/>
  </r>
  <r>
    <s v="E-020"/>
    <x v="19"/>
    <x v="3"/>
    <x v="0"/>
    <s v="Laptop"/>
    <x v="0"/>
    <n v="5"/>
    <n v="332"/>
    <n v="1660"/>
    <n v="1162"/>
    <n v="498"/>
    <n v="3532"/>
    <x v="0"/>
    <x v="0"/>
    <n v="0.3"/>
  </r>
  <r>
    <s v="E-021"/>
    <x v="20"/>
    <x v="3"/>
    <x v="0"/>
    <s v="Headphones"/>
    <x v="2"/>
    <n v="6"/>
    <n v="373"/>
    <n v="2238"/>
    <n v="1566.6"/>
    <n v="671.40000000000009"/>
    <n v="4910"/>
    <x v="0"/>
    <x v="0"/>
    <n v="0.30000000000000004"/>
  </r>
  <r>
    <s v="E-022"/>
    <x v="21"/>
    <x v="2"/>
    <x v="0"/>
    <s v="Headphones"/>
    <x v="2"/>
    <n v="1"/>
    <n v="194"/>
    <n v="194"/>
    <n v="135.79999999999998"/>
    <n v="58.200000000000017"/>
    <n v="3929"/>
    <x v="0"/>
    <x v="0"/>
    <n v="0.3000000000000001"/>
  </r>
  <r>
    <s v="E-023"/>
    <x v="22"/>
    <x v="2"/>
    <x v="3"/>
    <s v="Smartwatch"/>
    <x v="3"/>
    <n v="7"/>
    <n v="543"/>
    <n v="3801"/>
    <n v="2660.7"/>
    <n v="1140.3000000000002"/>
    <n v="4672"/>
    <x v="0"/>
    <x v="0"/>
    <n v="0.30000000000000004"/>
  </r>
  <r>
    <s v="E-024"/>
    <x v="23"/>
    <x v="1"/>
    <x v="1"/>
    <s v="Headphones"/>
    <x v="2"/>
    <n v="1"/>
    <n v="330"/>
    <n v="330"/>
    <n v="230.99999999999997"/>
    <n v="99.000000000000028"/>
    <n v="3329"/>
    <x v="0"/>
    <x v="0"/>
    <n v="0.3000000000000001"/>
  </r>
  <r>
    <s v="E-025"/>
    <x v="24"/>
    <x v="0"/>
    <x v="0"/>
    <s v="Smartwatch"/>
    <x v="3"/>
    <n v="9"/>
    <n v="554"/>
    <n v="4986"/>
    <n v="3490.2"/>
    <n v="1495.8000000000002"/>
    <n v="3483"/>
    <x v="0"/>
    <x v="0"/>
    <n v="0.30000000000000004"/>
  </r>
  <r>
    <s v="E-026"/>
    <x v="25"/>
    <x v="1"/>
    <x v="2"/>
    <s v="Headphones"/>
    <x v="2"/>
    <n v="4"/>
    <n v="464"/>
    <n v="1856"/>
    <n v="1299.1999999999998"/>
    <n v="556.80000000000018"/>
    <n v="2971"/>
    <x v="0"/>
    <x v="0"/>
    <n v="0.3000000000000001"/>
  </r>
  <r>
    <s v="E-027"/>
    <x v="26"/>
    <x v="1"/>
    <x v="0"/>
    <s v="Tablet"/>
    <x v="1"/>
    <n v="9"/>
    <n v="751"/>
    <n v="6759"/>
    <n v="4731.2999999999993"/>
    <n v="2027.7000000000007"/>
    <n v="3623"/>
    <x v="0"/>
    <x v="0"/>
    <n v="0.3000000000000001"/>
  </r>
  <r>
    <s v="E-028"/>
    <x v="27"/>
    <x v="1"/>
    <x v="1"/>
    <s v="PC"/>
    <x v="0"/>
    <n v="1"/>
    <n v="731"/>
    <n v="731"/>
    <n v="511.7"/>
    <n v="219.3"/>
    <n v="3004"/>
    <x v="0"/>
    <x v="0"/>
    <n v="0.3"/>
  </r>
  <r>
    <s v="E-029"/>
    <x v="28"/>
    <x v="3"/>
    <x v="2"/>
    <s v="Smartwatch"/>
    <x v="3"/>
    <n v="6"/>
    <n v="244"/>
    <n v="1464"/>
    <n v="1024.8"/>
    <n v="439.20000000000005"/>
    <n v="4288"/>
    <x v="0"/>
    <x v="0"/>
    <n v="0.30000000000000004"/>
  </r>
  <r>
    <s v="E-030"/>
    <x v="29"/>
    <x v="3"/>
    <x v="3"/>
    <s v="Tablet"/>
    <x v="1"/>
    <n v="4"/>
    <n v="524"/>
    <n v="2096"/>
    <n v="1467.1999999999998"/>
    <n v="628.80000000000018"/>
    <n v="4095"/>
    <x v="0"/>
    <x v="0"/>
    <n v="0.3000000000000001"/>
  </r>
  <r>
    <s v="E-031"/>
    <x v="30"/>
    <x v="1"/>
    <x v="3"/>
    <s v="Laptop"/>
    <x v="0"/>
    <n v="2"/>
    <n v="577"/>
    <n v="1154"/>
    <n v="807.8"/>
    <n v="346.20000000000005"/>
    <n v="3627"/>
    <x v="1"/>
    <x v="0"/>
    <n v="0.30000000000000004"/>
  </r>
  <r>
    <s v="E-032"/>
    <x v="31"/>
    <x v="1"/>
    <x v="2"/>
    <s v="Smartwatch"/>
    <x v="3"/>
    <n v="1"/>
    <n v="643"/>
    <n v="643"/>
    <n v="450.09999999999997"/>
    <n v="192.90000000000003"/>
    <n v="4387"/>
    <x v="1"/>
    <x v="0"/>
    <n v="0.30000000000000004"/>
  </r>
  <r>
    <s v="E-033"/>
    <x v="32"/>
    <x v="1"/>
    <x v="3"/>
    <s v="Smartwatch"/>
    <x v="3"/>
    <n v="4"/>
    <n v="857"/>
    <n v="3428"/>
    <n v="2399.6"/>
    <n v="1028.4000000000001"/>
    <n v="4895"/>
    <x v="1"/>
    <x v="0"/>
    <n v="0.30000000000000004"/>
  </r>
  <r>
    <s v="E-034"/>
    <x v="33"/>
    <x v="0"/>
    <x v="0"/>
    <s v="Headphones"/>
    <x v="2"/>
    <n v="4"/>
    <n v="930"/>
    <n v="3720"/>
    <n v="2604"/>
    <n v="1116"/>
    <n v="4657"/>
    <x v="1"/>
    <x v="0"/>
    <n v="0.3"/>
  </r>
  <r>
    <s v="E-035"/>
    <x v="34"/>
    <x v="3"/>
    <x v="0"/>
    <s v="Smartphone"/>
    <x v="1"/>
    <n v="6"/>
    <n v="266"/>
    <n v="1596"/>
    <n v="1117.1999999999998"/>
    <n v="478.80000000000018"/>
    <n v="4518"/>
    <x v="1"/>
    <x v="0"/>
    <n v="0.3000000000000001"/>
  </r>
  <r>
    <s v="E-036"/>
    <x v="35"/>
    <x v="2"/>
    <x v="0"/>
    <s v="Headphones"/>
    <x v="2"/>
    <n v="3"/>
    <n v="138"/>
    <n v="414"/>
    <n v="289.79999999999995"/>
    <n v="124.20000000000005"/>
    <n v="2525"/>
    <x v="1"/>
    <x v="0"/>
    <n v="0.3000000000000001"/>
  </r>
  <r>
    <s v="E-037"/>
    <x v="36"/>
    <x v="2"/>
    <x v="3"/>
    <s v="Tablet"/>
    <x v="1"/>
    <n v="8"/>
    <n v="304"/>
    <n v="2432"/>
    <n v="1702.3999999999999"/>
    <n v="729.60000000000014"/>
    <n v="2538"/>
    <x v="1"/>
    <x v="0"/>
    <n v="0.30000000000000004"/>
  </r>
  <r>
    <s v="E-038"/>
    <x v="37"/>
    <x v="0"/>
    <x v="2"/>
    <s v="Smartwatch"/>
    <x v="3"/>
    <n v="2"/>
    <n v="430"/>
    <n v="860"/>
    <n v="602"/>
    <n v="258"/>
    <n v="4994"/>
    <x v="1"/>
    <x v="0"/>
    <n v="0.3"/>
  </r>
  <r>
    <s v="E-039"/>
    <x v="38"/>
    <x v="3"/>
    <x v="3"/>
    <s v="Tablet"/>
    <x v="1"/>
    <n v="2"/>
    <n v="573"/>
    <n v="1146"/>
    <n v="802.19999999999993"/>
    <n v="343.80000000000007"/>
    <n v="2823"/>
    <x v="1"/>
    <x v="0"/>
    <n v="0.30000000000000004"/>
  </r>
  <r>
    <s v="E-040"/>
    <x v="39"/>
    <x v="0"/>
    <x v="1"/>
    <s v="Smartwatch"/>
    <x v="3"/>
    <n v="6"/>
    <n v="684"/>
    <n v="4104"/>
    <n v="2872.7999999999997"/>
    <n v="1231.2000000000003"/>
    <n v="3574"/>
    <x v="1"/>
    <x v="0"/>
    <n v="0.30000000000000004"/>
  </r>
  <r>
    <s v="E-041"/>
    <x v="40"/>
    <x v="0"/>
    <x v="2"/>
    <s v="Laptop"/>
    <x v="0"/>
    <n v="10"/>
    <n v="921"/>
    <n v="9210"/>
    <n v="6447"/>
    <n v="2763"/>
    <n v="4238"/>
    <x v="1"/>
    <x v="0"/>
    <n v="0.3"/>
  </r>
  <r>
    <s v="E-042"/>
    <x v="41"/>
    <x v="2"/>
    <x v="1"/>
    <s v="Laptop"/>
    <x v="0"/>
    <n v="8"/>
    <n v="242"/>
    <n v="1936"/>
    <n v="1355.1999999999998"/>
    <n v="580.80000000000018"/>
    <n v="4993"/>
    <x v="1"/>
    <x v="0"/>
    <n v="0.3000000000000001"/>
  </r>
  <r>
    <s v="E-043"/>
    <x v="42"/>
    <x v="1"/>
    <x v="1"/>
    <s v="PC"/>
    <x v="0"/>
    <n v="2"/>
    <n v="461"/>
    <n v="922"/>
    <n v="645.4"/>
    <n v="276.60000000000002"/>
    <n v="4166"/>
    <x v="1"/>
    <x v="0"/>
    <n v="0.30000000000000004"/>
  </r>
  <r>
    <s v="E-044"/>
    <x v="43"/>
    <x v="0"/>
    <x v="3"/>
    <s v="Smartphone"/>
    <x v="1"/>
    <n v="6"/>
    <n v="495"/>
    <n v="2970"/>
    <n v="2079"/>
    <n v="891"/>
    <n v="3021"/>
    <x v="1"/>
    <x v="0"/>
    <n v="0.3"/>
  </r>
  <r>
    <s v="E-045"/>
    <x v="44"/>
    <x v="2"/>
    <x v="2"/>
    <s v="Laptop"/>
    <x v="0"/>
    <n v="1"/>
    <n v="699"/>
    <n v="699"/>
    <n v="489.29999999999995"/>
    <n v="209.70000000000005"/>
    <n v="3456"/>
    <x v="1"/>
    <x v="0"/>
    <n v="0.30000000000000004"/>
  </r>
  <r>
    <s v="E-046"/>
    <x v="45"/>
    <x v="2"/>
    <x v="1"/>
    <s v="Smartphone"/>
    <x v="1"/>
    <n v="4"/>
    <n v="322"/>
    <n v="1288"/>
    <n v="901.59999999999991"/>
    <n v="386.40000000000009"/>
    <n v="4794"/>
    <x v="1"/>
    <x v="0"/>
    <n v="0.30000000000000004"/>
  </r>
  <r>
    <s v="E-047"/>
    <x v="46"/>
    <x v="1"/>
    <x v="0"/>
    <s v="Tablet"/>
    <x v="1"/>
    <n v="8"/>
    <n v="612"/>
    <n v="4896"/>
    <n v="3427.2"/>
    <n v="1468.8000000000002"/>
    <n v="3523"/>
    <x v="1"/>
    <x v="0"/>
    <n v="0.30000000000000004"/>
  </r>
  <r>
    <s v="E-048"/>
    <x v="47"/>
    <x v="0"/>
    <x v="3"/>
    <s v="Laptop"/>
    <x v="0"/>
    <n v="9"/>
    <n v="948"/>
    <n v="8532"/>
    <n v="5972.4"/>
    <n v="2559.6000000000004"/>
    <n v="3153"/>
    <x v="1"/>
    <x v="0"/>
    <n v="0.30000000000000004"/>
  </r>
  <r>
    <s v="E-049"/>
    <x v="48"/>
    <x v="0"/>
    <x v="0"/>
    <s v="Smartwatch"/>
    <x v="3"/>
    <n v="5"/>
    <n v="827"/>
    <n v="4135"/>
    <n v="2894.5"/>
    <n v="1240.5"/>
    <n v="3017"/>
    <x v="1"/>
    <x v="0"/>
    <n v="0.3"/>
  </r>
  <r>
    <s v="E-050"/>
    <x v="49"/>
    <x v="0"/>
    <x v="3"/>
    <s v="Headphones"/>
    <x v="2"/>
    <n v="2"/>
    <n v="704"/>
    <n v="1408"/>
    <n v="985.59999999999991"/>
    <n v="422.40000000000009"/>
    <n v="3585"/>
    <x v="1"/>
    <x v="0"/>
    <n v="0.30000000000000004"/>
  </r>
  <r>
    <s v="E-051"/>
    <x v="50"/>
    <x v="3"/>
    <x v="2"/>
    <s v="Smartwatch"/>
    <x v="3"/>
    <n v="8"/>
    <n v="904"/>
    <n v="7232"/>
    <n v="5062.3999999999996"/>
    <n v="2169.6000000000004"/>
    <n v="3282"/>
    <x v="1"/>
    <x v="0"/>
    <n v="0.30000000000000004"/>
  </r>
  <r>
    <s v="E-052"/>
    <x v="51"/>
    <x v="2"/>
    <x v="3"/>
    <s v="Tablet"/>
    <x v="1"/>
    <n v="6"/>
    <n v="737"/>
    <n v="4422"/>
    <n v="3095.3999999999996"/>
    <n v="1326.6000000000004"/>
    <n v="3378"/>
    <x v="1"/>
    <x v="0"/>
    <n v="0.3000000000000001"/>
  </r>
  <r>
    <s v="E-053"/>
    <x v="52"/>
    <x v="2"/>
    <x v="0"/>
    <s v="Tablet"/>
    <x v="1"/>
    <n v="1"/>
    <n v="850"/>
    <n v="850"/>
    <n v="595"/>
    <n v="255"/>
    <n v="2997"/>
    <x v="1"/>
    <x v="0"/>
    <n v="0.3"/>
  </r>
  <r>
    <s v="E-054"/>
    <x v="53"/>
    <x v="2"/>
    <x v="3"/>
    <s v="Smartwatch"/>
    <x v="3"/>
    <n v="2"/>
    <n v="284"/>
    <n v="568"/>
    <n v="397.59999999999997"/>
    <n v="170.40000000000003"/>
    <n v="2612"/>
    <x v="1"/>
    <x v="0"/>
    <n v="0.30000000000000004"/>
  </r>
  <r>
    <s v="E-055"/>
    <x v="54"/>
    <x v="0"/>
    <x v="0"/>
    <s v="Laptop"/>
    <x v="0"/>
    <n v="9"/>
    <n v="884"/>
    <n v="7956"/>
    <n v="5569.2"/>
    <n v="2386.8000000000002"/>
    <n v="4433"/>
    <x v="1"/>
    <x v="0"/>
    <n v="0.30000000000000004"/>
  </r>
  <r>
    <s v="E-056"/>
    <x v="55"/>
    <x v="1"/>
    <x v="3"/>
    <s v="PC"/>
    <x v="0"/>
    <n v="8"/>
    <n v="509"/>
    <n v="4072"/>
    <n v="2850.3999999999996"/>
    <n v="1221.6000000000004"/>
    <n v="3227"/>
    <x v="1"/>
    <x v="0"/>
    <n v="0.3000000000000001"/>
  </r>
  <r>
    <s v="E-057"/>
    <x v="56"/>
    <x v="0"/>
    <x v="3"/>
    <s v="Smartphone"/>
    <x v="1"/>
    <n v="2"/>
    <n v="108"/>
    <n v="216"/>
    <n v="151.19999999999999"/>
    <n v="64.800000000000011"/>
    <n v="3470"/>
    <x v="1"/>
    <x v="0"/>
    <n v="0.30000000000000004"/>
  </r>
  <r>
    <s v="E-058"/>
    <x v="57"/>
    <x v="3"/>
    <x v="1"/>
    <s v="Tablet"/>
    <x v="1"/>
    <n v="1"/>
    <n v="506"/>
    <n v="506"/>
    <n v="354.2"/>
    <n v="151.80000000000001"/>
    <n v="4782"/>
    <x v="1"/>
    <x v="0"/>
    <n v="0.30000000000000004"/>
  </r>
  <r>
    <s v="E-059"/>
    <x v="58"/>
    <x v="0"/>
    <x v="2"/>
    <s v="Tablet"/>
    <x v="1"/>
    <n v="9"/>
    <n v="440"/>
    <n v="3960"/>
    <n v="2772"/>
    <n v="1188"/>
    <n v="4768"/>
    <x v="1"/>
    <x v="0"/>
    <n v="0.3"/>
  </r>
  <r>
    <s v="E-060"/>
    <x v="59"/>
    <x v="2"/>
    <x v="3"/>
    <s v="Headphones"/>
    <x v="2"/>
    <n v="2"/>
    <n v="914"/>
    <n v="1828"/>
    <n v="1279.5999999999999"/>
    <n v="548.40000000000009"/>
    <n v="2583"/>
    <x v="1"/>
    <x v="0"/>
    <n v="0.30000000000000004"/>
  </r>
  <r>
    <s v="E-061"/>
    <x v="60"/>
    <x v="2"/>
    <x v="1"/>
    <s v="Smartphone"/>
    <x v="1"/>
    <n v="7"/>
    <n v="125"/>
    <n v="875"/>
    <n v="612.5"/>
    <n v="262.5"/>
    <n v="3274"/>
    <x v="1"/>
    <x v="0"/>
    <n v="0.3"/>
  </r>
  <r>
    <s v="E-062"/>
    <x v="61"/>
    <x v="2"/>
    <x v="3"/>
    <s v="PC"/>
    <x v="0"/>
    <n v="9"/>
    <n v="194"/>
    <n v="1746"/>
    <n v="1222.1999999999998"/>
    <n v="523.80000000000018"/>
    <n v="3223"/>
    <x v="2"/>
    <x v="0"/>
    <n v="0.3000000000000001"/>
  </r>
  <r>
    <s v="E-063"/>
    <x v="62"/>
    <x v="0"/>
    <x v="0"/>
    <s v="PC"/>
    <x v="0"/>
    <n v="2"/>
    <n v="408"/>
    <n v="816"/>
    <n v="571.19999999999993"/>
    <n v="244.80000000000007"/>
    <n v="3175"/>
    <x v="2"/>
    <x v="0"/>
    <n v="0.3000000000000001"/>
  </r>
  <r>
    <s v="E-064"/>
    <x v="63"/>
    <x v="1"/>
    <x v="3"/>
    <s v="Laptop"/>
    <x v="0"/>
    <n v="10"/>
    <n v="197"/>
    <n v="1970"/>
    <n v="1379"/>
    <n v="591"/>
    <n v="3814"/>
    <x v="2"/>
    <x v="0"/>
    <n v="0.3"/>
  </r>
  <r>
    <s v="E-065"/>
    <x v="64"/>
    <x v="3"/>
    <x v="0"/>
    <s v="Smartwatch"/>
    <x v="3"/>
    <n v="6"/>
    <n v="375"/>
    <n v="2250"/>
    <n v="1575"/>
    <n v="675"/>
    <n v="3292"/>
    <x v="2"/>
    <x v="0"/>
    <n v="0.3"/>
  </r>
  <r>
    <s v="E-066"/>
    <x v="65"/>
    <x v="3"/>
    <x v="3"/>
    <s v="Laptop"/>
    <x v="0"/>
    <n v="5"/>
    <n v="316"/>
    <n v="1580"/>
    <n v="1106"/>
    <n v="474"/>
    <n v="2902"/>
    <x v="2"/>
    <x v="0"/>
    <n v="0.3"/>
  </r>
  <r>
    <s v="E-067"/>
    <x v="66"/>
    <x v="1"/>
    <x v="1"/>
    <s v="Smartwatch"/>
    <x v="3"/>
    <n v="4"/>
    <n v="674"/>
    <n v="2696"/>
    <n v="1887.1999999999998"/>
    <n v="808.80000000000018"/>
    <n v="3125"/>
    <x v="2"/>
    <x v="0"/>
    <n v="0.30000000000000004"/>
  </r>
  <r>
    <s v="E-068"/>
    <x v="67"/>
    <x v="1"/>
    <x v="0"/>
    <s v="Smartwatch"/>
    <x v="3"/>
    <n v="4"/>
    <n v="701"/>
    <n v="2804"/>
    <n v="1962.8"/>
    <n v="841.2"/>
    <n v="3970"/>
    <x v="2"/>
    <x v="0"/>
    <n v="0.3"/>
  </r>
  <r>
    <s v="E-069"/>
    <x v="68"/>
    <x v="1"/>
    <x v="2"/>
    <s v="Smartwatch"/>
    <x v="3"/>
    <n v="1"/>
    <n v="687"/>
    <n v="687"/>
    <n v="480.9"/>
    <n v="206.10000000000002"/>
    <n v="3140"/>
    <x v="2"/>
    <x v="0"/>
    <n v="0.30000000000000004"/>
  </r>
  <r>
    <s v="E-070"/>
    <x v="69"/>
    <x v="0"/>
    <x v="3"/>
    <s v="Smartwatch"/>
    <x v="3"/>
    <n v="8"/>
    <n v="468"/>
    <n v="3744"/>
    <n v="2620.7999999999997"/>
    <n v="1123.2000000000003"/>
    <n v="3635"/>
    <x v="2"/>
    <x v="0"/>
    <n v="0.3000000000000001"/>
  </r>
  <r>
    <s v="E-071"/>
    <x v="70"/>
    <x v="0"/>
    <x v="0"/>
    <s v="Tablet"/>
    <x v="1"/>
    <n v="9"/>
    <n v="855"/>
    <n v="7695"/>
    <n v="5386.5"/>
    <n v="2308.5"/>
    <n v="2569"/>
    <x v="2"/>
    <x v="0"/>
    <n v="0.3"/>
  </r>
  <r>
    <s v="E-072"/>
    <x v="71"/>
    <x v="1"/>
    <x v="2"/>
    <s v="Tablet"/>
    <x v="1"/>
    <n v="10"/>
    <n v="852"/>
    <n v="8520"/>
    <n v="5964"/>
    <n v="2556"/>
    <n v="4618"/>
    <x v="2"/>
    <x v="0"/>
    <n v="0.3"/>
  </r>
  <r>
    <s v="E-073"/>
    <x v="72"/>
    <x v="2"/>
    <x v="1"/>
    <s v="Smartwatch"/>
    <x v="3"/>
    <n v="2"/>
    <n v="195"/>
    <n v="390"/>
    <n v="273"/>
    <n v="117"/>
    <n v="3376"/>
    <x v="2"/>
    <x v="0"/>
    <n v="0.3"/>
  </r>
  <r>
    <s v="E-074"/>
    <x v="73"/>
    <x v="1"/>
    <x v="0"/>
    <s v="Headphones"/>
    <x v="2"/>
    <n v="5"/>
    <n v="154"/>
    <n v="770"/>
    <n v="539"/>
    <n v="231"/>
    <n v="2530"/>
    <x v="2"/>
    <x v="0"/>
    <n v="0.3"/>
  </r>
  <r>
    <s v="E-075"/>
    <x v="74"/>
    <x v="1"/>
    <x v="3"/>
    <s v="Smartwatch"/>
    <x v="3"/>
    <n v="2"/>
    <n v="257"/>
    <n v="514"/>
    <n v="359.79999999999995"/>
    <n v="154.20000000000005"/>
    <n v="4893"/>
    <x v="2"/>
    <x v="0"/>
    <n v="0.3000000000000001"/>
  </r>
  <r>
    <s v="E-076"/>
    <x v="75"/>
    <x v="1"/>
    <x v="2"/>
    <s v="Smartwatch"/>
    <x v="3"/>
    <n v="7"/>
    <n v="260"/>
    <n v="1820"/>
    <n v="1274"/>
    <n v="546"/>
    <n v="3043"/>
    <x v="2"/>
    <x v="0"/>
    <n v="0.3"/>
  </r>
  <r>
    <s v="E-077"/>
    <x v="76"/>
    <x v="3"/>
    <x v="0"/>
    <s v="PC"/>
    <x v="0"/>
    <n v="3"/>
    <n v="269"/>
    <n v="807"/>
    <n v="564.9"/>
    <n v="242.10000000000002"/>
    <n v="3725"/>
    <x v="2"/>
    <x v="0"/>
    <n v="0.30000000000000004"/>
  </r>
  <r>
    <s v="E-078"/>
    <x v="77"/>
    <x v="3"/>
    <x v="0"/>
    <s v="Tablet"/>
    <x v="1"/>
    <n v="1"/>
    <n v="541"/>
    <n v="541"/>
    <n v="378.7"/>
    <n v="162.30000000000001"/>
    <n v="3238"/>
    <x v="2"/>
    <x v="0"/>
    <n v="0.30000000000000004"/>
  </r>
  <r>
    <s v="E-079"/>
    <x v="78"/>
    <x v="3"/>
    <x v="1"/>
    <s v="Headphones"/>
    <x v="2"/>
    <n v="7"/>
    <n v="429"/>
    <n v="3003"/>
    <n v="2102.1"/>
    <n v="900.90000000000009"/>
    <n v="4468"/>
    <x v="2"/>
    <x v="0"/>
    <n v="0.30000000000000004"/>
  </r>
  <r>
    <s v="E-080"/>
    <x v="79"/>
    <x v="2"/>
    <x v="0"/>
    <s v="Headphones"/>
    <x v="2"/>
    <n v="8"/>
    <n v="183"/>
    <n v="1464"/>
    <n v="1024.8"/>
    <n v="439.20000000000005"/>
    <n v="4369"/>
    <x v="2"/>
    <x v="0"/>
    <n v="0.30000000000000004"/>
  </r>
  <r>
    <s v="E-081"/>
    <x v="80"/>
    <x v="2"/>
    <x v="1"/>
    <s v="Tablet"/>
    <x v="1"/>
    <n v="1"/>
    <n v="666"/>
    <n v="666"/>
    <n v="466.2"/>
    <n v="199.8"/>
    <n v="3194"/>
    <x v="2"/>
    <x v="0"/>
    <n v="0.30000000000000004"/>
  </r>
  <r>
    <s v="E-082"/>
    <x v="81"/>
    <x v="1"/>
    <x v="3"/>
    <s v="Headphones"/>
    <x v="2"/>
    <n v="7"/>
    <n v="708"/>
    <n v="4956"/>
    <n v="3469.2"/>
    <n v="1486.8000000000002"/>
    <n v="2750"/>
    <x v="2"/>
    <x v="0"/>
    <n v="0.30000000000000004"/>
  </r>
  <r>
    <s v="E-083"/>
    <x v="82"/>
    <x v="2"/>
    <x v="0"/>
    <s v="Laptop"/>
    <x v="0"/>
    <n v="10"/>
    <n v="435"/>
    <n v="4350"/>
    <n v="3045"/>
    <n v="1305"/>
    <n v="4767"/>
    <x v="2"/>
    <x v="0"/>
    <n v="0.3"/>
  </r>
  <r>
    <s v="E-084"/>
    <x v="83"/>
    <x v="0"/>
    <x v="1"/>
    <s v="Headphones"/>
    <x v="2"/>
    <n v="1"/>
    <n v="831"/>
    <n v="831"/>
    <n v="581.69999999999993"/>
    <n v="249.30000000000007"/>
    <n v="3128"/>
    <x v="2"/>
    <x v="0"/>
    <n v="0.3000000000000001"/>
  </r>
  <r>
    <s v="E-085"/>
    <x v="84"/>
    <x v="3"/>
    <x v="1"/>
    <s v="Smartphone"/>
    <x v="1"/>
    <n v="8"/>
    <n v="489"/>
    <n v="3912"/>
    <n v="2738.3999999999996"/>
    <n v="1173.6000000000004"/>
    <n v="3399"/>
    <x v="2"/>
    <x v="0"/>
    <n v="0.3000000000000001"/>
  </r>
  <r>
    <s v="E-086"/>
    <x v="85"/>
    <x v="2"/>
    <x v="2"/>
    <s v="Tablet"/>
    <x v="1"/>
    <n v="10"/>
    <n v="517"/>
    <n v="5170"/>
    <n v="3618.9999999999995"/>
    <n v="1551.0000000000005"/>
    <n v="3349"/>
    <x v="2"/>
    <x v="0"/>
    <n v="0.3000000000000001"/>
  </r>
  <r>
    <s v="E-087"/>
    <x v="86"/>
    <x v="2"/>
    <x v="3"/>
    <s v="Tablet"/>
    <x v="1"/>
    <n v="2"/>
    <n v="624"/>
    <n v="1248"/>
    <n v="873.59999999999991"/>
    <n v="374.40000000000009"/>
    <n v="3969"/>
    <x v="2"/>
    <x v="0"/>
    <n v="0.3000000000000001"/>
  </r>
  <r>
    <s v="E-088"/>
    <x v="87"/>
    <x v="2"/>
    <x v="2"/>
    <s v="PC"/>
    <x v="0"/>
    <n v="5"/>
    <n v="331"/>
    <n v="1655"/>
    <n v="1158.5"/>
    <n v="496.5"/>
    <n v="2764"/>
    <x v="2"/>
    <x v="0"/>
    <n v="0.3"/>
  </r>
  <r>
    <s v="E-089"/>
    <x v="88"/>
    <x v="0"/>
    <x v="1"/>
    <s v="Smartwatch"/>
    <x v="3"/>
    <n v="7"/>
    <n v="210"/>
    <n v="1470"/>
    <n v="1029"/>
    <n v="441"/>
    <n v="4545"/>
    <x v="2"/>
    <x v="0"/>
    <n v="0.3"/>
  </r>
  <r>
    <s v="E-090"/>
    <x v="89"/>
    <x v="3"/>
    <x v="0"/>
    <s v="Headphones"/>
    <x v="2"/>
    <n v="2"/>
    <n v="109"/>
    <n v="218"/>
    <n v="152.6"/>
    <n v="65.400000000000006"/>
    <n v="3188"/>
    <x v="2"/>
    <x v="0"/>
    <n v="0.30000000000000004"/>
  </r>
  <r>
    <s v="E-091"/>
    <x v="90"/>
    <x v="2"/>
    <x v="3"/>
    <s v="Smartwatch"/>
    <x v="3"/>
    <n v="6"/>
    <n v="604"/>
    <n v="3624"/>
    <n v="2536.7999999999997"/>
    <n v="1087.2000000000003"/>
    <n v="3790"/>
    <x v="2"/>
    <x v="0"/>
    <n v="0.3000000000000001"/>
  </r>
  <r>
    <s v="E-092"/>
    <x v="91"/>
    <x v="0"/>
    <x v="1"/>
    <s v="Smartphone"/>
    <x v="1"/>
    <n v="4"/>
    <n v="794"/>
    <n v="3176"/>
    <n v="2223.1999999999998"/>
    <n v="952.80000000000018"/>
    <n v="3854"/>
    <x v="3"/>
    <x v="0"/>
    <n v="0.30000000000000004"/>
  </r>
  <r>
    <s v="E-093"/>
    <x v="92"/>
    <x v="2"/>
    <x v="1"/>
    <s v="PC"/>
    <x v="0"/>
    <n v="4"/>
    <n v="443"/>
    <n v="1772"/>
    <n v="1240.3999999999999"/>
    <n v="531.60000000000014"/>
    <n v="3556"/>
    <x v="3"/>
    <x v="0"/>
    <n v="0.3000000000000001"/>
  </r>
  <r>
    <s v="E-094"/>
    <x v="93"/>
    <x v="1"/>
    <x v="1"/>
    <s v="Smartwatch"/>
    <x v="3"/>
    <n v="7"/>
    <n v="223"/>
    <n v="1561"/>
    <n v="1092.6999999999998"/>
    <n v="468.30000000000018"/>
    <n v="4858"/>
    <x v="3"/>
    <x v="0"/>
    <n v="0.3000000000000001"/>
  </r>
  <r>
    <s v="E-095"/>
    <x v="94"/>
    <x v="1"/>
    <x v="3"/>
    <s v="Smartwatch"/>
    <x v="3"/>
    <n v="7"/>
    <n v="206"/>
    <n v="1442"/>
    <n v="1009.4"/>
    <n v="432.6"/>
    <n v="3398"/>
    <x v="3"/>
    <x v="0"/>
    <n v="0.3"/>
  </r>
  <r>
    <s v="E-096"/>
    <x v="95"/>
    <x v="3"/>
    <x v="2"/>
    <s v="PC"/>
    <x v="0"/>
    <n v="8"/>
    <n v="217"/>
    <n v="1736"/>
    <n v="1215.1999999999998"/>
    <n v="520.80000000000018"/>
    <n v="3419"/>
    <x v="3"/>
    <x v="0"/>
    <n v="0.3000000000000001"/>
  </r>
  <r>
    <s v="E-097"/>
    <x v="96"/>
    <x v="0"/>
    <x v="3"/>
    <s v="Headphones"/>
    <x v="2"/>
    <n v="5"/>
    <n v="388"/>
    <n v="1940"/>
    <n v="1358"/>
    <n v="582"/>
    <n v="3934"/>
    <x v="3"/>
    <x v="0"/>
    <n v="0.3"/>
  </r>
  <r>
    <s v="E-098"/>
    <x v="97"/>
    <x v="3"/>
    <x v="2"/>
    <s v="Laptop"/>
    <x v="0"/>
    <n v="8"/>
    <n v="465"/>
    <n v="3720"/>
    <n v="2604"/>
    <n v="1116"/>
    <n v="3583"/>
    <x v="3"/>
    <x v="0"/>
    <n v="0.3"/>
  </r>
  <r>
    <s v="E-099"/>
    <x v="98"/>
    <x v="2"/>
    <x v="0"/>
    <s v="Laptop"/>
    <x v="0"/>
    <n v="2"/>
    <n v="830"/>
    <n v="1660"/>
    <n v="1162"/>
    <n v="498"/>
    <n v="2825"/>
    <x v="3"/>
    <x v="0"/>
    <n v="0.3"/>
  </r>
  <r>
    <s v="E-100"/>
    <x v="99"/>
    <x v="0"/>
    <x v="0"/>
    <s v="Headphones"/>
    <x v="2"/>
    <n v="8"/>
    <n v="599"/>
    <n v="4792"/>
    <n v="3354.3999999999996"/>
    <n v="1437.6000000000004"/>
    <n v="2963"/>
    <x v="3"/>
    <x v="0"/>
    <n v="0.300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E7DEF1-16F6-49A7-86C8-286761D758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6">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5">
        <item h="1" x="2"/>
        <item x="3"/>
        <item h="1" x="0"/>
        <item h="1" x="1"/>
        <item t="default"/>
      </items>
    </pivotField>
    <pivotField showAll="0">
      <items count="5">
        <item x="1"/>
        <item x="3"/>
        <item x="2"/>
        <item x="0"/>
        <item t="default"/>
      </items>
    </pivotField>
    <pivotField showAll="0"/>
    <pivotField showAll="0">
      <items count="5">
        <item x="2"/>
        <item x="0"/>
        <item x="1"/>
        <item x="3"/>
        <item t="default"/>
      </items>
    </pivotField>
    <pivotField showAll="0"/>
    <pivotField showAll="0"/>
    <pivotField dataField="1" showAll="0"/>
    <pivotField numFmtId="1" showAll="0"/>
    <pivotField numFmtId="1" showAll="0"/>
    <pivotField numFmtId="1" showAll="0"/>
    <pivotField showAll="0">
      <items count="5">
        <item x="0"/>
        <item x="1"/>
        <item x="2"/>
        <item x="3"/>
        <item t="default"/>
      </items>
    </pivotField>
    <pivotField showAll="0">
      <items count="2">
        <item x="0"/>
        <item t="default"/>
      </items>
    </pivotField>
    <pivotField numFmtId="9" showAll="0"/>
    <pivotField axis="axisRow" showAll="0">
      <items count="15">
        <item x="0"/>
        <item x="1"/>
        <item x="2"/>
        <item x="3"/>
        <item x="4"/>
        <item x="5"/>
        <item x="6"/>
        <item x="7"/>
        <item x="8"/>
        <item x="9"/>
        <item x="10"/>
        <item x="11"/>
        <item x="12"/>
        <item x="13"/>
        <item t="default"/>
      </items>
    </pivotField>
  </pivotFields>
  <rowFields count="1">
    <field x="15"/>
  </rowFields>
  <rowItems count="5">
    <i>
      <x v="4"/>
    </i>
    <i>
      <x v="5"/>
    </i>
    <i>
      <x v="6"/>
    </i>
    <i>
      <x v="7"/>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76ED0F-832C-483C-BC55-71C1FE8F937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1:B46" firstHeaderRow="1" firstDataRow="1" firstDataCol="1"/>
  <pivotFields count="16">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numFmtId="1" showAll="0"/>
    <pivotField numFmtId="1" showAll="0"/>
    <pivotField numFmtId="1" showAll="0"/>
    <pivotField showAll="0">
      <items count="5">
        <item x="0"/>
        <item x="1"/>
        <item x="2"/>
        <item x="3"/>
        <item t="default"/>
      </items>
    </pivotField>
    <pivotField showAll="0">
      <items count="2">
        <item x="0"/>
        <item t="default"/>
      </items>
    </pivotField>
    <pivotField numFmtId="9" showAll="0"/>
    <pivotField showAll="0" defaultSubtotal="0">
      <items count="14">
        <item x="0"/>
        <item x="1"/>
        <item x="2"/>
        <item x="3"/>
        <item x="4"/>
        <item x="5"/>
        <item x="6"/>
        <item x="7"/>
        <item x="8"/>
        <item x="9"/>
        <item x="10"/>
        <item x="11"/>
        <item x="12"/>
        <item x="13"/>
      </items>
    </pivotField>
  </pivotFields>
  <rowFields count="1">
    <field x="3"/>
  </rowFields>
  <rowItems count="5">
    <i>
      <x v="1"/>
    </i>
    <i>
      <x v="3"/>
    </i>
    <i>
      <x v="2"/>
    </i>
    <i>
      <x/>
    </i>
    <i t="grand">
      <x/>
    </i>
  </rowItems>
  <colItems count="1">
    <i/>
  </colItems>
  <dataFields count="1">
    <dataField name="Sum of Sales" fld="8"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DE89CC-A1AD-4CBE-AEC8-F94B041CD59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8:B33" firstHeaderRow="1" firstDataRow="1" firstDataCol="1"/>
  <pivotFields count="16">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axis="axisRow" showAll="0">
      <items count="5">
        <item x="2"/>
        <item x="0"/>
        <item x="1"/>
        <item x="3"/>
        <item t="default"/>
      </items>
    </pivotField>
    <pivotField showAll="0"/>
    <pivotField showAll="0"/>
    <pivotField dataField="1" showAll="0"/>
    <pivotField numFmtId="1" showAll="0"/>
    <pivotField numFmtId="1" showAll="0"/>
    <pivotField numFmtId="1" showAll="0"/>
    <pivotField showAll="0">
      <items count="5">
        <item x="0"/>
        <item x="1"/>
        <item x="2"/>
        <item x="3"/>
        <item t="default"/>
      </items>
    </pivotField>
    <pivotField showAll="0">
      <items count="2">
        <item x="0"/>
        <item t="default"/>
      </items>
    </pivotField>
    <pivotField numFmtId="9" showAl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Items count="1">
    <i/>
  </colItems>
  <dataFields count="1">
    <dataField name="Sum of Sales" fld="8" baseField="0" baseItem="0"/>
  </dataFields>
  <chartFormats count="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 chart="3"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61E118-53D3-4007-AE7B-1D6436FB259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3:C18" firstHeaderRow="0" firstDataRow="1" firstDataCol="1"/>
  <pivotFields count="16">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5">
        <item x="2"/>
        <item x="3"/>
        <item x="0"/>
        <item x="1"/>
        <item t="default"/>
      </items>
    </pivotField>
    <pivotField showAll="0"/>
    <pivotField showAll="0"/>
    <pivotField showAll="0"/>
    <pivotField showAll="0"/>
    <pivotField showAll="0"/>
    <pivotField dataField="1" showAll="0"/>
    <pivotField numFmtId="1" showAll="0"/>
    <pivotField dataField="1" numFmtId="1" showAll="0"/>
    <pivotField numFmtId="1" showAll="0"/>
    <pivotField showAll="0">
      <items count="5">
        <item x="0"/>
        <item x="1"/>
        <item x="2"/>
        <item x="3"/>
        <item t="default"/>
      </items>
    </pivotField>
    <pivotField showAll="0">
      <items count="2">
        <item x="0"/>
        <item t="default"/>
      </items>
    </pivotField>
    <pivotField numFmtId="9" showAl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Fields count="1">
    <field x="-2"/>
  </colFields>
  <colItems count="2">
    <i>
      <x/>
    </i>
    <i i="1">
      <x v="1"/>
    </i>
  </colItems>
  <dataFields count="2">
    <dataField name="Sum of Sales" fld="8" baseField="0" baseItem="0"/>
    <dataField name="Sum of Profit" fld="10" baseField="0" baseItem="0" numFmtId="1"/>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EB79D4-50FD-47DD-BDAD-DB600A573DFD}" sourceName="Region">
  <pivotTables>
    <pivotTable tabId="3" name="PivotTable1"/>
  </pivotTables>
  <data>
    <tabular pivotCacheId="1318661112">
      <items count="4">
        <i x="2"/>
        <i x="3"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59727676-F888-4E05-B03E-B87F35E66D0C}" sourceName="Salesperson">
  <pivotTables>
    <pivotTable tabId="3" name="PivotTable1"/>
  </pivotTables>
  <data>
    <tabular pivotCacheId="1318661112">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047D3CC-B11A-49C5-97DB-1F540D00B237}" sourceName="Category">
  <pivotTables>
    <pivotTable tabId="3" name="PivotTable1"/>
  </pivotTables>
  <data>
    <tabular pivotCacheId="1318661112">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3722731-3200-49FC-A01B-7BA5D8936290}" sourceName="Month">
  <pivotTables>
    <pivotTable tabId="3" name="PivotTable1"/>
    <pivotTable tabId="3" name="PivotTable2"/>
    <pivotTable tabId="3" name="PivotTable3"/>
    <pivotTable tabId="3" name="PivotTable4"/>
  </pivotTables>
  <data>
    <tabular pivotCacheId="131866111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EB10E7A-C3DE-4B5A-8400-E03268D5CF57}" cache="Slicer_Region" caption="Region" rowHeight="234950"/>
  <slicer name="Salesperson" xr10:uid="{BDF7F468-0544-406A-AB3D-96E13D92633B}" cache="Slicer_Salesperson" caption="Salesperson" rowHeight="234950"/>
  <slicer name="Category" xr10:uid="{029800C7-C7E0-4CB8-93A9-59C3325E3949}" cache="Slicer_Category" caption="Category" rowHeight="234950"/>
  <slicer name="Month" xr10:uid="{04790D88-5020-4A51-8DD6-466D4B9D8D48}"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C96C4A-0A0F-451A-B082-909199AE0554}" name="Table1" displayName="Table1" ref="A1:P101" headerRowDxfId="13">
  <autoFilter ref="A1:P101" xr:uid="{10C96C4A-0A0F-451A-B082-909199AE0554}"/>
  <tableColumns count="16">
    <tableColumn id="1" xr3:uid="{B4A8E19F-3B78-4A64-8DFB-B6C61C72610B}" name="Order ID" totalsRowLabel="Total"/>
    <tableColumn id="2" xr3:uid="{39002970-4819-4A39-8281-B1010E828E12}" name="Order Date" dataDxfId="12"/>
    <tableColumn id="3" xr3:uid="{D76B5835-E91F-4E8F-820C-F41AD3E70E0E}" name="Region">
      <calculatedColumnFormula array="1">INDEX({"North","South","East","West"}, RANDBETWEEN(1,4))</calculatedColumnFormula>
    </tableColumn>
    <tableColumn id="4" xr3:uid="{E80B4D85-2686-462A-9756-5C77F2E5D18F}" name="Salesperson">
      <calculatedColumnFormula array="1">INDEX({"Alan","Bob","Charlie","David"},RANDBETWEEN(1,4))</calculatedColumnFormula>
    </tableColumn>
    <tableColumn id="5" xr3:uid="{D8761A3E-388B-439C-8CF2-A4983AC6C42B}" name="Product">
      <calculatedColumnFormula array="1">INDEX({"Laptop","Smartphone","Smartwatch","Tablet","PC","Headphones"}, RANDBETWEEN(1,6))</calculatedColumnFormula>
    </tableColumn>
    <tableColumn id="6" xr3:uid="{1CB187F9-8AA6-4A8B-B268-FA264E01310F}" name="Category">
      <calculatedColumnFormula array="1">_xlfn.SWITCH(E2,
 "Laptop","Computing",
 "Smartphone","Electronics",
 "Tablet","Electronics",
 "Smartwatch","Wearables",
 "PC","Computing",
 "Headphones","Accessories",
 "Unknown")</calculatedColumnFormula>
    </tableColumn>
    <tableColumn id="7" xr3:uid="{BA11C85C-1C5E-4087-811E-B8512220BE46}" name="Quantity">
      <calculatedColumnFormula>RANDBETWEEN(1,10)</calculatedColumnFormula>
    </tableColumn>
    <tableColumn id="8" xr3:uid="{F8E737EA-15F2-4428-BD7E-C0855944BFF9}" name="Unit Price">
      <calculatedColumnFormula>RANDBETWEEN(100,1000)</calculatedColumnFormula>
    </tableColumn>
    <tableColumn id="9" xr3:uid="{F38350FC-9EBF-4A7B-B10F-CE2B95AAFABB}" name="Sales">
      <calculatedColumnFormula>G2*H2</calculatedColumnFormula>
    </tableColumn>
    <tableColumn id="10" xr3:uid="{2F3F360C-4CC2-4C1A-917B-EDE50FA21DB1}" name="Cost" dataDxfId="11">
      <calculatedColumnFormula>I2*70%</calculatedColumnFormula>
    </tableColumn>
    <tableColumn id="11" xr3:uid="{0C77159B-B732-49BE-9B81-2E2B3ECA109C}" name="Profit" dataDxfId="10">
      <calculatedColumnFormula>I2-J2</calculatedColumnFormula>
    </tableColumn>
    <tableColumn id="12" xr3:uid="{9153F9EE-4EE0-42FD-8917-7AE94411CC32}" name="Target" dataDxfId="9">
      <calculatedColumnFormula>RANDBETWEEN(2500,5000)</calculatedColumnFormula>
    </tableColumn>
    <tableColumn id="13" xr3:uid="{C46C4C0D-0210-4BF0-AC8D-57396D75B1DD}" name="Month">
      <calculatedColumnFormula>TEXT(B2,"MMM")</calculatedColumnFormula>
    </tableColumn>
    <tableColumn id="14" xr3:uid="{8135D352-3212-445A-8832-86E214BF26D4}" name="Year">
      <calculatedColumnFormula>TEXT(B2,"YYYY")</calculatedColumnFormula>
    </tableColumn>
    <tableColumn id="15" xr3:uid="{D21538D3-0C24-46DE-AA7E-0D6A8712E091}" name="Profit Margin" dataDxfId="8" totalsRowDxfId="7" dataCellStyle="Percent">
      <calculatedColumnFormula>K2/I2</calculatedColumnFormula>
    </tableColumn>
    <tableColumn id="16" xr3:uid="{05385227-8836-4785-87E4-BDA9548FE096}" name="Achievement %" totalsRowFunction="sum" totalsRowDxfId="6" dataCellStyle="Percent">
      <calculatedColumnFormula>Table1[[#This Row],[Sales]]/Table1[[#This Row],[Target]]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839A-66E7-477D-B4F5-0765D9AF5691}">
  <dimension ref="A1:P101"/>
  <sheetViews>
    <sheetView topLeftCell="A86" workbookViewId="0">
      <selection activeCell="B105" sqref="B105"/>
    </sheetView>
  </sheetViews>
  <sheetFormatPr defaultRowHeight="14.4" x14ac:dyDescent="0.3"/>
  <cols>
    <col min="1" max="1" width="9.88671875" customWidth="1"/>
    <col min="2" max="2" width="12" customWidth="1"/>
    <col min="4" max="4" width="12.88671875" customWidth="1"/>
    <col min="5" max="5" width="12.109375" customWidth="1"/>
    <col min="6" max="6" width="13" customWidth="1"/>
    <col min="7" max="7" width="10.21875" customWidth="1"/>
    <col min="8" max="8" width="11" customWidth="1"/>
    <col min="10" max="12" width="8.88671875" style="5"/>
    <col min="15" max="15" width="16.44140625" customWidth="1"/>
    <col min="16" max="16" width="18.33203125" style="3" customWidth="1"/>
  </cols>
  <sheetData>
    <row r="1" spans="1:16" ht="28.8" x14ac:dyDescent="0.3">
      <c r="A1" s="1" t="s">
        <v>0</v>
      </c>
      <c r="B1" s="1" t="s">
        <v>1</v>
      </c>
      <c r="C1" s="1" t="s">
        <v>2</v>
      </c>
      <c r="D1" s="1" t="s">
        <v>3</v>
      </c>
      <c r="E1" s="1" t="s">
        <v>4</v>
      </c>
      <c r="F1" s="1" t="s">
        <v>5</v>
      </c>
      <c r="G1" s="1" t="s">
        <v>6</v>
      </c>
      <c r="H1" s="1" t="s">
        <v>7</v>
      </c>
      <c r="I1" s="1" t="s">
        <v>8</v>
      </c>
      <c r="J1" s="4" t="s">
        <v>9</v>
      </c>
      <c r="K1" s="4" t="s">
        <v>10</v>
      </c>
      <c r="L1" s="4" t="s">
        <v>11</v>
      </c>
      <c r="M1" s="1" t="s">
        <v>12</v>
      </c>
      <c r="N1" s="1" t="s">
        <v>113</v>
      </c>
      <c r="O1" s="1" t="s">
        <v>114</v>
      </c>
      <c r="P1" s="10" t="s">
        <v>146</v>
      </c>
    </row>
    <row r="2" spans="1:16" x14ac:dyDescent="0.3">
      <c r="A2" t="s">
        <v>13</v>
      </c>
      <c r="B2" s="2">
        <v>45748</v>
      </c>
      <c r="C2" t="str" cm="1">
        <f t="array" aca="1" ref="C2" ca="1">INDEX({"North","South","East","West"}, RANDBETWEEN(1,4))</f>
        <v>West</v>
      </c>
      <c r="D2" t="str" cm="1">
        <f t="array" aca="1" ref="D2" ca="1">INDEX({"Alan","Bob","Charlie","David"},RANDBETWEEN(1,4))</f>
        <v>Bob</v>
      </c>
      <c r="E2" t="str" cm="1">
        <f t="array" aca="1" ref="E2" ca="1">INDEX({"Laptop","Smartphone","Smartwatch","Tablet","PC","Headphones"}, RANDBETWEEN(1,6))</f>
        <v>Smartwatch</v>
      </c>
      <c r="F2" t="str" cm="1">
        <f t="array" aca="1" ref="F2" ca="1">_xlfn.SWITCH(E2,
 "Laptop","Computing",
 "Smartphone","Electronics",
 "Tablet","Electronics",
 "Smartwatch","Wearables",
 "PC","Computing",
 "Headphones","Accessories",
 "Unknown")</f>
        <v>Wearables</v>
      </c>
      <c r="G2">
        <f ca="1">RANDBETWEEN(1,10)</f>
        <v>3</v>
      </c>
      <c r="H2">
        <f ca="1">RANDBETWEEN(100,1000)</f>
        <v>708</v>
      </c>
      <c r="I2">
        <f ca="1">G2*H2</f>
        <v>2124</v>
      </c>
      <c r="J2" s="5">
        <f ca="1">I2*70%</f>
        <v>1486.8</v>
      </c>
      <c r="K2" s="5">
        <f ca="1">I2-J2</f>
        <v>637.20000000000005</v>
      </c>
      <c r="L2" s="5">
        <f ca="1">RANDBETWEEN(2500,5000)</f>
        <v>3425</v>
      </c>
      <c r="M2" t="str">
        <f>TEXT(B2,"MMM")</f>
        <v>Apr</v>
      </c>
      <c r="N2" t="str">
        <f>TEXT(B2,"YYYY")</f>
        <v>2025</v>
      </c>
      <c r="O2" s="3">
        <f ca="1">K2/I2</f>
        <v>0.30000000000000004</v>
      </c>
      <c r="P2" s="3">
        <f ca="1">Table1[[#This Row],[Sales]]/Table1[[#This Row],[Target]]</f>
        <v>0.62014598540145982</v>
      </c>
    </row>
    <row r="3" spans="1:16" x14ac:dyDescent="0.3">
      <c r="A3" t="s">
        <v>14</v>
      </c>
      <c r="B3" s="2">
        <v>45749</v>
      </c>
      <c r="C3" t="str" cm="1">
        <f t="array" aca="1" ref="C3" ca="1">INDEX({"North","South","East","West"}, RANDBETWEEN(1,4))</f>
        <v>North</v>
      </c>
      <c r="D3" t="str" cm="1">
        <f t="array" aca="1" ref="D3" ca="1">INDEX({"Alan","Bob","Charlie","David"},RANDBETWEEN(1,4))</f>
        <v>David</v>
      </c>
      <c r="E3" t="str" cm="1">
        <f t="array" aca="1" ref="E3" ca="1">INDEX({"Laptop","Smartphone","Smartwatch","Tablet","PC","Headphones"}, RANDBETWEEN(1,6))</f>
        <v>PC</v>
      </c>
      <c r="F3" t="str" cm="1">
        <f t="array" aca="1" ref="F3" ca="1">_xlfn.SWITCH(E3,
 "Laptop","Computing",
 "Smartphone","Electronics",
 "Tablet","Electronics",
 "Smartwatch","Wearables",
 "PC","Computing",
 "Headphones","Accessories",
 "Unknown")</f>
        <v>Computing</v>
      </c>
      <c r="G3">
        <f t="shared" ref="G3:G66" ca="1" si="0">RANDBETWEEN(1,10)</f>
        <v>2</v>
      </c>
      <c r="H3">
        <f t="shared" ref="H3:H66" ca="1" si="1">RANDBETWEEN(100,1000)</f>
        <v>246</v>
      </c>
      <c r="I3">
        <f t="shared" ref="I3:I66" ca="1" si="2">G3*H3</f>
        <v>492</v>
      </c>
      <c r="J3" s="5">
        <f t="shared" ref="J3:J66" ca="1" si="3">I3*70%</f>
        <v>344.4</v>
      </c>
      <c r="K3" s="5">
        <f t="shared" ref="K3:K66" ca="1" si="4">I3-J3</f>
        <v>147.60000000000002</v>
      </c>
      <c r="L3" s="5">
        <f t="shared" ref="L3:L66" ca="1" si="5">RANDBETWEEN(2500,5000)</f>
        <v>3574</v>
      </c>
      <c r="M3" t="str">
        <f t="shared" ref="M3:M66" si="6">TEXT(B3,"MMM")</f>
        <v>Apr</v>
      </c>
      <c r="N3" t="str">
        <f t="shared" ref="N3:N66" si="7">TEXT(B3,"YYYY")</f>
        <v>2025</v>
      </c>
      <c r="O3" s="3">
        <f t="shared" ref="O3:O66" ca="1" si="8">K3/I3</f>
        <v>0.30000000000000004</v>
      </c>
      <c r="P3" s="3">
        <f ca="1">Table1[[#This Row],[Sales]]/Table1[[#This Row],[Target]]</f>
        <v>0.13766088416340236</v>
      </c>
    </row>
    <row r="4" spans="1:16" x14ac:dyDescent="0.3">
      <c r="A4" t="s">
        <v>15</v>
      </c>
      <c r="B4" s="2">
        <v>45750</v>
      </c>
      <c r="C4" t="str" cm="1">
        <f t="array" aca="1" ref="C4" ca="1">INDEX({"North","South","East","West"}, RANDBETWEEN(1,4))</f>
        <v>South</v>
      </c>
      <c r="D4" t="str" cm="1">
        <f t="array" aca="1" ref="D4" ca="1">INDEX({"Alan","Bob","Charlie","David"},RANDBETWEEN(1,4))</f>
        <v>Alan</v>
      </c>
      <c r="E4" t="str" cm="1">
        <f t="array" aca="1" ref="E4" ca="1">INDEX({"Laptop","Smartphone","Smartwatch","Tablet","PC","Headphones"}, RANDBETWEEN(1,6))</f>
        <v>PC</v>
      </c>
      <c r="F4" t="str" cm="1">
        <f t="array" aca="1" ref="F4" ca="1">_xlfn.SWITCH(E4,
 "Laptop","Computing",
 "Smartphone","Electronics",
 "Tablet","Electronics",
 "Smartwatch","Wearables",
 "PC","Computing",
 "Headphones","Accessories",
 "Unknown")</f>
        <v>Computing</v>
      </c>
      <c r="G4">
        <f t="shared" ca="1" si="0"/>
        <v>8</v>
      </c>
      <c r="H4">
        <f t="shared" ca="1" si="1"/>
        <v>618</v>
      </c>
      <c r="I4">
        <f t="shared" ca="1" si="2"/>
        <v>4944</v>
      </c>
      <c r="J4" s="5">
        <f t="shared" ca="1" si="3"/>
        <v>3460.7999999999997</v>
      </c>
      <c r="K4" s="5">
        <f t="shared" ca="1" si="4"/>
        <v>1483.2000000000003</v>
      </c>
      <c r="L4" s="5">
        <f t="shared" ca="1" si="5"/>
        <v>3877</v>
      </c>
      <c r="M4" t="str">
        <f t="shared" si="6"/>
        <v>Apr</v>
      </c>
      <c r="N4" t="str">
        <f t="shared" si="7"/>
        <v>2025</v>
      </c>
      <c r="O4" s="3">
        <f t="shared" ca="1" si="8"/>
        <v>0.30000000000000004</v>
      </c>
      <c r="P4" s="3">
        <f ca="1">Table1[[#This Row],[Sales]]/Table1[[#This Row],[Target]]</f>
        <v>1.2752127933969564</v>
      </c>
    </row>
    <row r="5" spans="1:16" x14ac:dyDescent="0.3">
      <c r="A5" t="s">
        <v>16</v>
      </c>
      <c r="B5" s="2">
        <v>45751</v>
      </c>
      <c r="C5" t="str" cm="1">
        <f t="array" aca="1" ref="C5" ca="1">INDEX({"North","South","East","West"}, RANDBETWEEN(1,4))</f>
        <v>East</v>
      </c>
      <c r="D5" t="str" cm="1">
        <f t="array" aca="1" ref="D5" ca="1">INDEX({"Alan","Bob","Charlie","David"},RANDBETWEEN(1,4))</f>
        <v>Charlie</v>
      </c>
      <c r="E5" t="str" cm="1">
        <f t="array" aca="1" ref="E5" ca="1">INDEX({"Laptop","Smartphone","Smartwatch","Tablet","PC","Headphones"}, RANDBETWEEN(1,6))</f>
        <v>Headphones</v>
      </c>
      <c r="F5" t="str" cm="1">
        <f t="array" aca="1" ref="F5" ca="1">_xlfn.SWITCH(E5,
 "Laptop","Computing",
 "Smartphone","Electronics",
 "Tablet","Electronics",
 "Smartwatch","Wearables",
 "PC","Computing",
 "Headphones","Accessories",
 "Unknown")</f>
        <v>Accessories</v>
      </c>
      <c r="G5">
        <f t="shared" ca="1" si="0"/>
        <v>9</v>
      </c>
      <c r="H5">
        <f t="shared" ca="1" si="1"/>
        <v>334</v>
      </c>
      <c r="I5">
        <f t="shared" ca="1" si="2"/>
        <v>3006</v>
      </c>
      <c r="J5" s="5">
        <f t="shared" ca="1" si="3"/>
        <v>2104.1999999999998</v>
      </c>
      <c r="K5" s="5">
        <f t="shared" ca="1" si="4"/>
        <v>901.80000000000018</v>
      </c>
      <c r="L5" s="5">
        <f t="shared" ca="1" si="5"/>
        <v>4882</v>
      </c>
      <c r="M5" t="str">
        <f t="shared" si="6"/>
        <v>Apr</v>
      </c>
      <c r="N5" t="str">
        <f t="shared" si="7"/>
        <v>2025</v>
      </c>
      <c r="O5" s="3">
        <f t="shared" ca="1" si="8"/>
        <v>0.30000000000000004</v>
      </c>
      <c r="P5" s="3">
        <f ca="1">Table1[[#This Row],[Sales]]/Table1[[#This Row],[Target]]</f>
        <v>0.61573125768127812</v>
      </c>
    </row>
    <row r="6" spans="1:16" x14ac:dyDescent="0.3">
      <c r="A6" t="s">
        <v>17</v>
      </c>
      <c r="B6" s="2">
        <v>45752</v>
      </c>
      <c r="C6" t="str" cm="1">
        <f t="array" aca="1" ref="C6" ca="1">INDEX({"North","South","East","West"}, RANDBETWEEN(1,4))</f>
        <v>East</v>
      </c>
      <c r="D6" t="str" cm="1">
        <f t="array" aca="1" ref="D6" ca="1">INDEX({"Alan","Bob","Charlie","David"},RANDBETWEEN(1,4))</f>
        <v>David</v>
      </c>
      <c r="E6" t="str" cm="1">
        <f t="array" aca="1" ref="E6" ca="1">INDEX({"Laptop","Smartphone","Smartwatch","Tablet","PC","Headphones"}, RANDBETWEEN(1,6))</f>
        <v>Laptop</v>
      </c>
      <c r="F6" t="str" cm="1">
        <f t="array" aca="1" ref="F6" ca="1">_xlfn.SWITCH(E6,
 "Laptop","Computing",
 "Smartphone","Electronics",
 "Tablet","Electronics",
 "Smartwatch","Wearables",
 "PC","Computing",
 "Headphones","Accessories",
 "Unknown")</f>
        <v>Computing</v>
      </c>
      <c r="G6">
        <f t="shared" ca="1" si="0"/>
        <v>8</v>
      </c>
      <c r="H6">
        <f t="shared" ca="1" si="1"/>
        <v>513</v>
      </c>
      <c r="I6">
        <f t="shared" ca="1" si="2"/>
        <v>4104</v>
      </c>
      <c r="J6" s="5">
        <f t="shared" ca="1" si="3"/>
        <v>2872.7999999999997</v>
      </c>
      <c r="K6" s="5">
        <f t="shared" ca="1" si="4"/>
        <v>1231.2000000000003</v>
      </c>
      <c r="L6" s="5">
        <f t="shared" ca="1" si="5"/>
        <v>4187</v>
      </c>
      <c r="M6" t="str">
        <f t="shared" si="6"/>
        <v>Apr</v>
      </c>
      <c r="N6" t="str">
        <f t="shared" si="7"/>
        <v>2025</v>
      </c>
      <c r="O6" s="3">
        <f t="shared" ca="1" si="8"/>
        <v>0.30000000000000004</v>
      </c>
      <c r="P6" s="3">
        <f ca="1">Table1[[#This Row],[Sales]]/Table1[[#This Row],[Target]]</f>
        <v>0.98017673752089807</v>
      </c>
    </row>
    <row r="7" spans="1:16" x14ac:dyDescent="0.3">
      <c r="A7" t="s">
        <v>18</v>
      </c>
      <c r="B7" s="2">
        <v>45753</v>
      </c>
      <c r="C7" t="str" cm="1">
        <f t="array" aca="1" ref="C7" ca="1">INDEX({"North","South","East","West"}, RANDBETWEEN(1,4))</f>
        <v>West</v>
      </c>
      <c r="D7" t="str" cm="1">
        <f t="array" aca="1" ref="D7" ca="1">INDEX({"Alan","Bob","Charlie","David"},RANDBETWEEN(1,4))</f>
        <v>Charlie</v>
      </c>
      <c r="E7" t="str" cm="1">
        <f t="array" aca="1" ref="E7" ca="1">INDEX({"Laptop","Smartphone","Smartwatch","Tablet","PC","Headphones"}, RANDBETWEEN(1,6))</f>
        <v>Tablet</v>
      </c>
      <c r="F7" t="str" cm="1">
        <f t="array" aca="1" ref="F7" ca="1">_xlfn.SWITCH(E7,
 "Laptop","Computing",
 "Smartphone","Electronics",
 "Tablet","Electronics",
 "Smartwatch","Wearables",
 "PC","Computing",
 "Headphones","Accessories",
 "Unknown")</f>
        <v>Electronics</v>
      </c>
      <c r="G7">
        <f t="shared" ca="1" si="0"/>
        <v>10</v>
      </c>
      <c r="H7">
        <f t="shared" ca="1" si="1"/>
        <v>758</v>
      </c>
      <c r="I7">
        <f t="shared" ca="1" si="2"/>
        <v>7580</v>
      </c>
      <c r="J7" s="5">
        <f t="shared" ca="1" si="3"/>
        <v>5306</v>
      </c>
      <c r="K7" s="5">
        <f t="shared" ca="1" si="4"/>
        <v>2274</v>
      </c>
      <c r="L7" s="5">
        <f t="shared" ca="1" si="5"/>
        <v>4546</v>
      </c>
      <c r="M7" t="str">
        <f t="shared" si="6"/>
        <v>Apr</v>
      </c>
      <c r="N7" t="str">
        <f t="shared" si="7"/>
        <v>2025</v>
      </c>
      <c r="O7" s="3">
        <f t="shared" ca="1" si="8"/>
        <v>0.3</v>
      </c>
      <c r="P7" s="3">
        <f ca="1">Table1[[#This Row],[Sales]]/Table1[[#This Row],[Target]]</f>
        <v>1.6673999120105587</v>
      </c>
    </row>
    <row r="8" spans="1:16" x14ac:dyDescent="0.3">
      <c r="A8" t="s">
        <v>19</v>
      </c>
      <c r="B8" s="2">
        <v>45754</v>
      </c>
      <c r="C8" t="str" cm="1">
        <f t="array" aca="1" ref="C8" ca="1">INDEX({"North","South","East","West"}, RANDBETWEEN(1,4))</f>
        <v>East</v>
      </c>
      <c r="D8" t="str" cm="1">
        <f t="array" aca="1" ref="D8" ca="1">INDEX({"Alan","Bob","Charlie","David"},RANDBETWEEN(1,4))</f>
        <v>Charlie</v>
      </c>
      <c r="E8" t="str" cm="1">
        <f t="array" aca="1" ref="E8" ca="1">INDEX({"Laptop","Smartphone","Smartwatch","Tablet","PC","Headphones"}, RANDBETWEEN(1,6))</f>
        <v>Tablet</v>
      </c>
      <c r="F8" t="str" cm="1">
        <f t="array" aca="1" ref="F8" ca="1">_xlfn.SWITCH(E8,
 "Laptop","Computing",
 "Smartphone","Electronics",
 "Tablet","Electronics",
 "Smartwatch","Wearables",
 "PC","Computing",
 "Headphones","Accessories",
 "Unknown")</f>
        <v>Electronics</v>
      </c>
      <c r="G8">
        <f t="shared" ca="1" si="0"/>
        <v>8</v>
      </c>
      <c r="H8">
        <f t="shared" ca="1" si="1"/>
        <v>742</v>
      </c>
      <c r="I8">
        <f t="shared" ca="1" si="2"/>
        <v>5936</v>
      </c>
      <c r="J8" s="5">
        <f t="shared" ca="1" si="3"/>
        <v>4155.2</v>
      </c>
      <c r="K8" s="5">
        <f t="shared" ca="1" si="4"/>
        <v>1780.8000000000002</v>
      </c>
      <c r="L8" s="5">
        <f t="shared" ca="1" si="5"/>
        <v>3881</v>
      </c>
      <c r="M8" t="str">
        <f t="shared" si="6"/>
        <v>Apr</v>
      </c>
      <c r="N8" t="str">
        <f t="shared" si="7"/>
        <v>2025</v>
      </c>
      <c r="O8" s="3">
        <f t="shared" ca="1" si="8"/>
        <v>0.30000000000000004</v>
      </c>
      <c r="P8" s="3">
        <f ca="1">Table1[[#This Row],[Sales]]/Table1[[#This Row],[Target]]</f>
        <v>1.5295027054882762</v>
      </c>
    </row>
    <row r="9" spans="1:16" x14ac:dyDescent="0.3">
      <c r="A9" t="s">
        <v>20</v>
      </c>
      <c r="B9" s="2">
        <v>45755</v>
      </c>
      <c r="C9" t="str" cm="1">
        <f t="array" aca="1" ref="C9" ca="1">INDEX({"North","South","East","West"}, RANDBETWEEN(1,4))</f>
        <v>West</v>
      </c>
      <c r="D9" t="str" cm="1">
        <f t="array" aca="1" ref="D9" ca="1">INDEX({"Alan","Bob","Charlie","David"},RANDBETWEEN(1,4))</f>
        <v>Alan</v>
      </c>
      <c r="E9" t="str" cm="1">
        <f t="array" aca="1" ref="E9" ca="1">INDEX({"Laptop","Smartphone","Smartwatch","Tablet","PC","Headphones"}, RANDBETWEEN(1,6))</f>
        <v>Headphones</v>
      </c>
      <c r="F9" t="str" cm="1">
        <f t="array" aca="1" ref="F9" ca="1">_xlfn.SWITCH(E9,
 "Laptop","Computing",
 "Smartphone","Electronics",
 "Tablet","Electronics",
 "Smartwatch","Wearables",
 "PC","Computing",
 "Headphones","Accessories",
 "Unknown")</f>
        <v>Accessories</v>
      </c>
      <c r="G9">
        <f t="shared" ca="1" si="0"/>
        <v>8</v>
      </c>
      <c r="H9">
        <f t="shared" ca="1" si="1"/>
        <v>174</v>
      </c>
      <c r="I9">
        <f t="shared" ca="1" si="2"/>
        <v>1392</v>
      </c>
      <c r="J9" s="5">
        <f t="shared" ca="1" si="3"/>
        <v>974.4</v>
      </c>
      <c r="K9" s="5">
        <f t="shared" ca="1" si="4"/>
        <v>417.6</v>
      </c>
      <c r="L9" s="5">
        <f t="shared" ca="1" si="5"/>
        <v>3372</v>
      </c>
      <c r="M9" t="str">
        <f t="shared" si="6"/>
        <v>Apr</v>
      </c>
      <c r="N9" t="str">
        <f t="shared" si="7"/>
        <v>2025</v>
      </c>
      <c r="O9" s="3">
        <f t="shared" ca="1" si="8"/>
        <v>0.3</v>
      </c>
      <c r="P9" s="3">
        <f ca="1">Table1[[#This Row],[Sales]]/Table1[[#This Row],[Target]]</f>
        <v>0.41281138790035588</v>
      </c>
    </row>
    <row r="10" spans="1:16" x14ac:dyDescent="0.3">
      <c r="A10" t="s">
        <v>21</v>
      </c>
      <c r="B10" s="2">
        <v>45756</v>
      </c>
      <c r="C10" t="str" cm="1">
        <f t="array" aca="1" ref="C10" ca="1">INDEX({"North","South","East","West"}, RANDBETWEEN(1,4))</f>
        <v>East</v>
      </c>
      <c r="D10" t="str" cm="1">
        <f t="array" aca="1" ref="D10" ca="1">INDEX({"Alan","Bob","Charlie","David"},RANDBETWEEN(1,4))</f>
        <v>Bob</v>
      </c>
      <c r="E10" t="str" cm="1">
        <f t="array" aca="1" ref="E10" ca="1">INDEX({"Laptop","Smartphone","Smartwatch","Tablet","PC","Headphones"}, RANDBETWEEN(1,6))</f>
        <v>Smartphone</v>
      </c>
      <c r="F10" t="str" cm="1">
        <f t="array" aca="1" ref="F10" ca="1">_xlfn.SWITCH(E10,
 "Laptop","Computing",
 "Smartphone","Electronics",
 "Tablet","Electronics",
 "Smartwatch","Wearables",
 "PC","Computing",
 "Headphones","Accessories",
 "Unknown")</f>
        <v>Electronics</v>
      </c>
      <c r="G10">
        <f t="shared" ca="1" si="0"/>
        <v>3</v>
      </c>
      <c r="H10">
        <f t="shared" ca="1" si="1"/>
        <v>576</v>
      </c>
      <c r="I10">
        <f t="shared" ca="1" si="2"/>
        <v>1728</v>
      </c>
      <c r="J10" s="5">
        <f t="shared" ca="1" si="3"/>
        <v>1209.5999999999999</v>
      </c>
      <c r="K10" s="5">
        <f t="shared" ca="1" si="4"/>
        <v>518.40000000000009</v>
      </c>
      <c r="L10" s="5">
        <f t="shared" ca="1" si="5"/>
        <v>4400</v>
      </c>
      <c r="M10" t="str">
        <f t="shared" si="6"/>
        <v>Apr</v>
      </c>
      <c r="N10" t="str">
        <f t="shared" si="7"/>
        <v>2025</v>
      </c>
      <c r="O10" s="3">
        <f t="shared" ca="1" si="8"/>
        <v>0.30000000000000004</v>
      </c>
      <c r="P10" s="3">
        <f ca="1">Table1[[#This Row],[Sales]]/Table1[[#This Row],[Target]]</f>
        <v>0.3927272727272727</v>
      </c>
    </row>
    <row r="11" spans="1:16" x14ac:dyDescent="0.3">
      <c r="A11" t="s">
        <v>22</v>
      </c>
      <c r="B11" s="2">
        <v>45757</v>
      </c>
      <c r="C11" t="str" cm="1">
        <f t="array" aca="1" ref="C11" ca="1">INDEX({"North","South","East","West"}, RANDBETWEEN(1,4))</f>
        <v>West</v>
      </c>
      <c r="D11" t="str" cm="1">
        <f t="array" aca="1" ref="D11" ca="1">INDEX({"Alan","Bob","Charlie","David"},RANDBETWEEN(1,4))</f>
        <v>Bob</v>
      </c>
      <c r="E11" t="str" cm="1">
        <f t="array" aca="1" ref="E11" ca="1">INDEX({"Laptop","Smartphone","Smartwatch","Tablet","PC","Headphones"}, RANDBETWEEN(1,6))</f>
        <v>Headphones</v>
      </c>
      <c r="F11" t="str" cm="1">
        <f t="array" aca="1" ref="F11" ca="1">_xlfn.SWITCH(E11,
 "Laptop","Computing",
 "Smartphone","Electronics",
 "Tablet","Electronics",
 "Smartwatch","Wearables",
 "PC","Computing",
 "Headphones","Accessories",
 "Unknown")</f>
        <v>Accessories</v>
      </c>
      <c r="G11">
        <f t="shared" ca="1" si="0"/>
        <v>9</v>
      </c>
      <c r="H11">
        <f t="shared" ca="1" si="1"/>
        <v>917</v>
      </c>
      <c r="I11">
        <f t="shared" ca="1" si="2"/>
        <v>8253</v>
      </c>
      <c r="J11" s="5">
        <f t="shared" ca="1" si="3"/>
        <v>5777.0999999999995</v>
      </c>
      <c r="K11" s="5">
        <f t="shared" ca="1" si="4"/>
        <v>2475.9000000000005</v>
      </c>
      <c r="L11" s="5">
        <f t="shared" ca="1" si="5"/>
        <v>4456</v>
      </c>
      <c r="M11" t="str">
        <f t="shared" si="6"/>
        <v>Apr</v>
      </c>
      <c r="N11" t="str">
        <f t="shared" si="7"/>
        <v>2025</v>
      </c>
      <c r="O11" s="3">
        <f t="shared" ca="1" si="8"/>
        <v>0.30000000000000004</v>
      </c>
      <c r="P11" s="3">
        <f ca="1">Table1[[#This Row],[Sales]]/Table1[[#This Row],[Target]]</f>
        <v>1.8521095152603231</v>
      </c>
    </row>
    <row r="12" spans="1:16" x14ac:dyDescent="0.3">
      <c r="A12" t="s">
        <v>23</v>
      </c>
      <c r="B12" s="2">
        <v>45758</v>
      </c>
      <c r="C12" t="str" cm="1">
        <f t="array" aca="1" ref="C12" ca="1">INDEX({"North","South","East","West"}, RANDBETWEEN(1,4))</f>
        <v>West</v>
      </c>
      <c r="D12" t="str" cm="1">
        <f t="array" aca="1" ref="D12" ca="1">INDEX({"Alan","Bob","Charlie","David"},RANDBETWEEN(1,4))</f>
        <v>Bob</v>
      </c>
      <c r="E12" t="str" cm="1">
        <f t="array" aca="1" ref="E12" ca="1">INDEX({"Laptop","Smartphone","Smartwatch","Tablet","PC","Headphones"}, RANDBETWEEN(1,6))</f>
        <v>PC</v>
      </c>
      <c r="F12" t="str" cm="1">
        <f t="array" aca="1" ref="F12" ca="1">_xlfn.SWITCH(E12,
 "Laptop","Computing",
 "Smartphone","Electronics",
 "Tablet","Electronics",
 "Smartwatch","Wearables",
 "PC","Computing",
 "Headphones","Accessories",
 "Unknown")</f>
        <v>Computing</v>
      </c>
      <c r="G12">
        <f t="shared" ca="1" si="0"/>
        <v>6</v>
      </c>
      <c r="H12">
        <f t="shared" ca="1" si="1"/>
        <v>678</v>
      </c>
      <c r="I12">
        <f t="shared" ca="1" si="2"/>
        <v>4068</v>
      </c>
      <c r="J12" s="5">
        <f t="shared" ca="1" si="3"/>
        <v>2847.6</v>
      </c>
      <c r="K12" s="5">
        <f t="shared" ca="1" si="4"/>
        <v>1220.4000000000001</v>
      </c>
      <c r="L12" s="5">
        <f t="shared" ca="1" si="5"/>
        <v>2841</v>
      </c>
      <c r="M12" t="str">
        <f t="shared" si="6"/>
        <v>Apr</v>
      </c>
      <c r="N12" t="str">
        <f t="shared" si="7"/>
        <v>2025</v>
      </c>
      <c r="O12" s="3">
        <f t="shared" ca="1" si="8"/>
        <v>0.30000000000000004</v>
      </c>
      <c r="P12" s="3">
        <f ca="1">Table1[[#This Row],[Sales]]/Table1[[#This Row],[Target]]</f>
        <v>1.4318901795142556</v>
      </c>
    </row>
    <row r="13" spans="1:16" x14ac:dyDescent="0.3">
      <c r="A13" t="s">
        <v>24</v>
      </c>
      <c r="B13" s="2">
        <v>45759</v>
      </c>
      <c r="C13" t="str" cm="1">
        <f t="array" aca="1" ref="C13" ca="1">INDEX({"North","South","East","West"}, RANDBETWEEN(1,4))</f>
        <v>North</v>
      </c>
      <c r="D13" t="str" cm="1">
        <f t="array" aca="1" ref="D13" ca="1">INDEX({"Alan","Bob","Charlie","David"},RANDBETWEEN(1,4))</f>
        <v>Charlie</v>
      </c>
      <c r="E13" t="str" cm="1">
        <f t="array" aca="1" ref="E13" ca="1">INDEX({"Laptop","Smartphone","Smartwatch","Tablet","PC","Headphones"}, RANDBETWEEN(1,6))</f>
        <v>Laptop</v>
      </c>
      <c r="F13" t="str" cm="1">
        <f t="array" aca="1" ref="F13" ca="1">_xlfn.SWITCH(E13,
 "Laptop","Computing",
 "Smartphone","Electronics",
 "Tablet","Electronics",
 "Smartwatch","Wearables",
 "PC","Computing",
 "Headphones","Accessories",
 "Unknown")</f>
        <v>Computing</v>
      </c>
      <c r="G13">
        <f t="shared" ca="1" si="0"/>
        <v>8</v>
      </c>
      <c r="H13">
        <f t="shared" ca="1" si="1"/>
        <v>640</v>
      </c>
      <c r="I13">
        <f t="shared" ca="1" si="2"/>
        <v>5120</v>
      </c>
      <c r="J13" s="5">
        <f t="shared" ca="1" si="3"/>
        <v>3584</v>
      </c>
      <c r="K13" s="5">
        <f t="shared" ca="1" si="4"/>
        <v>1536</v>
      </c>
      <c r="L13" s="5">
        <f t="shared" ca="1" si="5"/>
        <v>4894</v>
      </c>
      <c r="M13" t="str">
        <f t="shared" si="6"/>
        <v>Apr</v>
      </c>
      <c r="N13" t="str">
        <f t="shared" si="7"/>
        <v>2025</v>
      </c>
      <c r="O13" s="3">
        <f t="shared" ca="1" si="8"/>
        <v>0.3</v>
      </c>
      <c r="P13" s="3">
        <f ca="1">Table1[[#This Row],[Sales]]/Table1[[#This Row],[Target]]</f>
        <v>1.0461789946873723</v>
      </c>
    </row>
    <row r="14" spans="1:16" x14ac:dyDescent="0.3">
      <c r="A14" t="s">
        <v>25</v>
      </c>
      <c r="B14" s="2">
        <v>45760</v>
      </c>
      <c r="C14" t="str" cm="1">
        <f t="array" aca="1" ref="C14" ca="1">INDEX({"North","South","East","West"}, RANDBETWEEN(1,4))</f>
        <v>North</v>
      </c>
      <c r="D14" t="str" cm="1">
        <f t="array" aca="1" ref="D14" ca="1">INDEX({"Alan","Bob","Charlie","David"},RANDBETWEEN(1,4))</f>
        <v>David</v>
      </c>
      <c r="E14" t="str" cm="1">
        <f t="array" aca="1" ref="E14" ca="1">INDEX({"Laptop","Smartphone","Smartwatch","Tablet","PC","Headphones"}, RANDBETWEEN(1,6))</f>
        <v>Laptop</v>
      </c>
      <c r="F14" t="str" cm="1">
        <f t="array" aca="1" ref="F14" ca="1">_xlfn.SWITCH(E14,
 "Laptop","Computing",
 "Smartphone","Electronics",
 "Tablet","Electronics",
 "Smartwatch","Wearables",
 "PC","Computing",
 "Headphones","Accessories",
 "Unknown")</f>
        <v>Computing</v>
      </c>
      <c r="G14">
        <f t="shared" ca="1" si="0"/>
        <v>5</v>
      </c>
      <c r="H14">
        <f t="shared" ca="1" si="1"/>
        <v>709</v>
      </c>
      <c r="I14">
        <f t="shared" ca="1" si="2"/>
        <v>3545</v>
      </c>
      <c r="J14" s="5">
        <f t="shared" ca="1" si="3"/>
        <v>2481.5</v>
      </c>
      <c r="K14" s="5">
        <f t="shared" ca="1" si="4"/>
        <v>1063.5</v>
      </c>
      <c r="L14" s="5">
        <f t="shared" ca="1" si="5"/>
        <v>4427</v>
      </c>
      <c r="M14" t="str">
        <f t="shared" si="6"/>
        <v>Apr</v>
      </c>
      <c r="N14" t="str">
        <f t="shared" si="7"/>
        <v>2025</v>
      </c>
      <c r="O14" s="3">
        <f t="shared" ca="1" si="8"/>
        <v>0.3</v>
      </c>
      <c r="P14" s="3">
        <f ca="1">Table1[[#This Row],[Sales]]/Table1[[#This Row],[Target]]</f>
        <v>0.80076801445674273</v>
      </c>
    </row>
    <row r="15" spans="1:16" x14ac:dyDescent="0.3">
      <c r="A15" t="s">
        <v>26</v>
      </c>
      <c r="B15" s="2">
        <v>45761</v>
      </c>
      <c r="C15" t="str" cm="1">
        <f t="array" aca="1" ref="C15" ca="1">INDEX({"North","South","East","West"}, RANDBETWEEN(1,4))</f>
        <v>West</v>
      </c>
      <c r="D15" t="str" cm="1">
        <f t="array" aca="1" ref="D15" ca="1">INDEX({"Alan","Bob","Charlie","David"},RANDBETWEEN(1,4))</f>
        <v>David</v>
      </c>
      <c r="E15" t="str" cm="1">
        <f t="array" aca="1" ref="E15" ca="1">INDEX({"Laptop","Smartphone","Smartwatch","Tablet","PC","Headphones"}, RANDBETWEEN(1,6))</f>
        <v>Headphones</v>
      </c>
      <c r="F15" t="str" cm="1">
        <f t="array" aca="1" ref="F15" ca="1">_xlfn.SWITCH(E15,
 "Laptop","Computing",
 "Smartphone","Electronics",
 "Tablet","Electronics",
 "Smartwatch","Wearables",
 "PC","Computing",
 "Headphones","Accessories",
 "Unknown")</f>
        <v>Accessories</v>
      </c>
      <c r="G15">
        <f t="shared" ca="1" si="0"/>
        <v>9</v>
      </c>
      <c r="H15">
        <f t="shared" ca="1" si="1"/>
        <v>754</v>
      </c>
      <c r="I15">
        <f t="shared" ca="1" si="2"/>
        <v>6786</v>
      </c>
      <c r="J15" s="5">
        <f t="shared" ca="1" si="3"/>
        <v>4750.2</v>
      </c>
      <c r="K15" s="5">
        <f t="shared" ca="1" si="4"/>
        <v>2035.8000000000002</v>
      </c>
      <c r="L15" s="5">
        <f t="shared" ca="1" si="5"/>
        <v>4549</v>
      </c>
      <c r="M15" t="str">
        <f t="shared" si="6"/>
        <v>Apr</v>
      </c>
      <c r="N15" t="str">
        <f t="shared" si="7"/>
        <v>2025</v>
      </c>
      <c r="O15" s="3">
        <f t="shared" ca="1" si="8"/>
        <v>0.30000000000000004</v>
      </c>
      <c r="P15" s="3">
        <f ca="1">Table1[[#This Row],[Sales]]/Table1[[#This Row],[Target]]</f>
        <v>1.491756429984612</v>
      </c>
    </row>
    <row r="16" spans="1:16" x14ac:dyDescent="0.3">
      <c r="A16" t="s">
        <v>27</v>
      </c>
      <c r="B16" s="2">
        <v>45762</v>
      </c>
      <c r="C16" t="str" cm="1">
        <f t="array" aca="1" ref="C16" ca="1">INDEX({"North","South","East","West"}, RANDBETWEEN(1,4))</f>
        <v>West</v>
      </c>
      <c r="D16" t="str" cm="1">
        <f t="array" aca="1" ref="D16" ca="1">INDEX({"Alan","Bob","Charlie","David"},RANDBETWEEN(1,4))</f>
        <v>Bob</v>
      </c>
      <c r="E16" t="str" cm="1">
        <f t="array" aca="1" ref="E16" ca="1">INDEX({"Laptop","Smartphone","Smartwatch","Tablet","PC","Headphones"}, RANDBETWEEN(1,6))</f>
        <v>Laptop</v>
      </c>
      <c r="F16" t="str" cm="1">
        <f t="array" aca="1" ref="F16" ca="1">_xlfn.SWITCH(E16,
 "Laptop","Computing",
 "Smartphone","Electronics",
 "Tablet","Electronics",
 "Smartwatch","Wearables",
 "PC","Computing",
 "Headphones","Accessories",
 "Unknown")</f>
        <v>Computing</v>
      </c>
      <c r="G16">
        <f t="shared" ca="1" si="0"/>
        <v>6</v>
      </c>
      <c r="H16">
        <f t="shared" ca="1" si="1"/>
        <v>928</v>
      </c>
      <c r="I16">
        <f t="shared" ca="1" si="2"/>
        <v>5568</v>
      </c>
      <c r="J16" s="5">
        <f t="shared" ca="1" si="3"/>
        <v>3897.6</v>
      </c>
      <c r="K16" s="5">
        <f t="shared" ca="1" si="4"/>
        <v>1670.4</v>
      </c>
      <c r="L16" s="5">
        <f t="shared" ca="1" si="5"/>
        <v>3265</v>
      </c>
      <c r="M16" t="str">
        <f t="shared" si="6"/>
        <v>Apr</v>
      </c>
      <c r="N16" t="str">
        <f t="shared" si="7"/>
        <v>2025</v>
      </c>
      <c r="O16" s="3">
        <f t="shared" ca="1" si="8"/>
        <v>0.3</v>
      </c>
      <c r="P16" s="3">
        <f ca="1">Table1[[#This Row],[Sales]]/Table1[[#This Row],[Target]]</f>
        <v>1.7053598774885146</v>
      </c>
    </row>
    <row r="17" spans="1:16" x14ac:dyDescent="0.3">
      <c r="A17" t="s">
        <v>28</v>
      </c>
      <c r="B17" s="2">
        <v>45763</v>
      </c>
      <c r="C17" t="str" cm="1">
        <f t="array" aca="1" ref="C17" ca="1">INDEX({"North","South","East","West"}, RANDBETWEEN(1,4))</f>
        <v>West</v>
      </c>
      <c r="D17" t="str" cm="1">
        <f t="array" aca="1" ref="D17" ca="1">INDEX({"Alan","Bob","Charlie","David"},RANDBETWEEN(1,4))</f>
        <v>Alan</v>
      </c>
      <c r="E17" t="str" cm="1">
        <f t="array" aca="1" ref="E17" ca="1">INDEX({"Laptop","Smartphone","Smartwatch","Tablet","PC","Headphones"}, RANDBETWEEN(1,6))</f>
        <v>Smartphone</v>
      </c>
      <c r="F17" t="str" cm="1">
        <f t="array" aca="1" ref="F17" ca="1">_xlfn.SWITCH(E17,
 "Laptop","Computing",
 "Smartphone","Electronics",
 "Tablet","Electronics",
 "Smartwatch","Wearables",
 "PC","Computing",
 "Headphones","Accessories",
 "Unknown")</f>
        <v>Electronics</v>
      </c>
      <c r="G17">
        <f t="shared" ca="1" si="0"/>
        <v>1</v>
      </c>
      <c r="H17">
        <f t="shared" ca="1" si="1"/>
        <v>508</v>
      </c>
      <c r="I17">
        <f t="shared" ca="1" si="2"/>
        <v>508</v>
      </c>
      <c r="J17" s="5">
        <f t="shared" ca="1" si="3"/>
        <v>355.59999999999997</v>
      </c>
      <c r="K17" s="5">
        <f t="shared" ca="1" si="4"/>
        <v>152.40000000000003</v>
      </c>
      <c r="L17" s="5">
        <f t="shared" ca="1" si="5"/>
        <v>3124</v>
      </c>
      <c r="M17" t="str">
        <f t="shared" si="6"/>
        <v>Apr</v>
      </c>
      <c r="N17" t="str">
        <f t="shared" si="7"/>
        <v>2025</v>
      </c>
      <c r="O17" s="3">
        <f t="shared" ca="1" si="8"/>
        <v>0.30000000000000004</v>
      </c>
      <c r="P17" s="3">
        <f ca="1">Table1[[#This Row],[Sales]]/Table1[[#This Row],[Target]]</f>
        <v>0.16261203585147246</v>
      </c>
    </row>
    <row r="18" spans="1:16" x14ac:dyDescent="0.3">
      <c r="A18" t="s">
        <v>29</v>
      </c>
      <c r="B18" s="2">
        <v>45764</v>
      </c>
      <c r="C18" t="str" cm="1">
        <f t="array" aca="1" ref="C18" ca="1">INDEX({"North","South","East","West"}, RANDBETWEEN(1,4))</f>
        <v>North</v>
      </c>
      <c r="D18" t="str" cm="1">
        <f t="array" aca="1" ref="D18" ca="1">INDEX({"Alan","Bob","Charlie","David"},RANDBETWEEN(1,4))</f>
        <v>Bob</v>
      </c>
      <c r="E18" t="str" cm="1">
        <f t="array" aca="1" ref="E18" ca="1">INDEX({"Laptop","Smartphone","Smartwatch","Tablet","PC","Headphones"}, RANDBETWEEN(1,6))</f>
        <v>Laptop</v>
      </c>
      <c r="F18" t="str" cm="1">
        <f t="array" aca="1" ref="F18" ca="1">_xlfn.SWITCH(E18,
 "Laptop","Computing",
 "Smartphone","Electronics",
 "Tablet","Electronics",
 "Smartwatch","Wearables",
 "PC","Computing",
 "Headphones","Accessories",
 "Unknown")</f>
        <v>Computing</v>
      </c>
      <c r="G18">
        <f t="shared" ca="1" si="0"/>
        <v>7</v>
      </c>
      <c r="H18">
        <f t="shared" ca="1" si="1"/>
        <v>523</v>
      </c>
      <c r="I18">
        <f t="shared" ca="1" si="2"/>
        <v>3661</v>
      </c>
      <c r="J18" s="5">
        <f t="shared" ca="1" si="3"/>
        <v>2562.6999999999998</v>
      </c>
      <c r="K18" s="5">
        <f t="shared" ca="1" si="4"/>
        <v>1098.3000000000002</v>
      </c>
      <c r="L18" s="5">
        <f t="shared" ca="1" si="5"/>
        <v>4983</v>
      </c>
      <c r="M18" t="str">
        <f t="shared" si="6"/>
        <v>Apr</v>
      </c>
      <c r="N18" t="str">
        <f t="shared" si="7"/>
        <v>2025</v>
      </c>
      <c r="O18" s="3">
        <f t="shared" ca="1" si="8"/>
        <v>0.30000000000000004</v>
      </c>
      <c r="P18" s="3">
        <f ca="1">Table1[[#This Row],[Sales]]/Table1[[#This Row],[Target]]</f>
        <v>0.7346979731085691</v>
      </c>
    </row>
    <row r="19" spans="1:16" x14ac:dyDescent="0.3">
      <c r="A19" t="s">
        <v>30</v>
      </c>
      <c r="B19" s="2">
        <v>45765</v>
      </c>
      <c r="C19" t="str" cm="1">
        <f t="array" aca="1" ref="C19" ca="1">INDEX({"North","South","East","West"}, RANDBETWEEN(1,4))</f>
        <v>West</v>
      </c>
      <c r="D19" t="str" cm="1">
        <f t="array" aca="1" ref="D19" ca="1">INDEX({"Alan","Bob","Charlie","David"},RANDBETWEEN(1,4))</f>
        <v>Alan</v>
      </c>
      <c r="E19" t="str" cm="1">
        <f t="array" aca="1" ref="E19" ca="1">INDEX({"Laptop","Smartphone","Smartwatch","Tablet","PC","Headphones"}, RANDBETWEEN(1,6))</f>
        <v>PC</v>
      </c>
      <c r="F19" t="str" cm="1">
        <f t="array" aca="1" ref="F19" ca="1">_xlfn.SWITCH(E19,
 "Laptop","Computing",
 "Smartphone","Electronics",
 "Tablet","Electronics",
 "Smartwatch","Wearables",
 "PC","Computing",
 "Headphones","Accessories",
 "Unknown")</f>
        <v>Computing</v>
      </c>
      <c r="G19">
        <f t="shared" ca="1" si="0"/>
        <v>9</v>
      </c>
      <c r="H19">
        <f t="shared" ca="1" si="1"/>
        <v>550</v>
      </c>
      <c r="I19">
        <f t="shared" ca="1" si="2"/>
        <v>4950</v>
      </c>
      <c r="J19" s="5">
        <f t="shared" ca="1" si="3"/>
        <v>3465</v>
      </c>
      <c r="K19" s="5">
        <f t="shared" ca="1" si="4"/>
        <v>1485</v>
      </c>
      <c r="L19" s="5">
        <f t="shared" ca="1" si="5"/>
        <v>4731</v>
      </c>
      <c r="M19" t="str">
        <f t="shared" si="6"/>
        <v>Apr</v>
      </c>
      <c r="N19" t="str">
        <f t="shared" si="7"/>
        <v>2025</v>
      </c>
      <c r="O19" s="3">
        <f t="shared" ca="1" si="8"/>
        <v>0.3</v>
      </c>
      <c r="P19" s="3">
        <f ca="1">Table1[[#This Row],[Sales]]/Table1[[#This Row],[Target]]</f>
        <v>1.0462904248573239</v>
      </c>
    </row>
    <row r="20" spans="1:16" x14ac:dyDescent="0.3">
      <c r="A20" t="s">
        <v>31</v>
      </c>
      <c r="B20" s="2">
        <v>45766</v>
      </c>
      <c r="C20" t="str" cm="1">
        <f t="array" aca="1" ref="C20" ca="1">INDEX({"North","South","East","West"}, RANDBETWEEN(1,4))</f>
        <v>West</v>
      </c>
      <c r="D20" t="str" cm="1">
        <f t="array" aca="1" ref="D20" ca="1">INDEX({"Alan","Bob","Charlie","David"},RANDBETWEEN(1,4))</f>
        <v>Bob</v>
      </c>
      <c r="E20" t="str" cm="1">
        <f t="array" aca="1" ref="E20" ca="1">INDEX({"Laptop","Smartphone","Smartwatch","Tablet","PC","Headphones"}, RANDBETWEEN(1,6))</f>
        <v>Smartwatch</v>
      </c>
      <c r="F20" t="str" cm="1">
        <f t="array" aca="1" ref="F20" ca="1">_xlfn.SWITCH(E20,
 "Laptop","Computing",
 "Smartphone","Electronics",
 "Tablet","Electronics",
 "Smartwatch","Wearables",
 "PC","Computing",
 "Headphones","Accessories",
 "Unknown")</f>
        <v>Wearables</v>
      </c>
      <c r="G20">
        <f t="shared" ca="1" si="0"/>
        <v>1</v>
      </c>
      <c r="H20">
        <f t="shared" ca="1" si="1"/>
        <v>644</v>
      </c>
      <c r="I20">
        <f t="shared" ca="1" si="2"/>
        <v>644</v>
      </c>
      <c r="J20" s="5">
        <f t="shared" ca="1" si="3"/>
        <v>450.79999999999995</v>
      </c>
      <c r="K20" s="5">
        <f t="shared" ca="1" si="4"/>
        <v>193.20000000000005</v>
      </c>
      <c r="L20" s="5">
        <f t="shared" ca="1" si="5"/>
        <v>2880</v>
      </c>
      <c r="M20" t="str">
        <f t="shared" si="6"/>
        <v>Apr</v>
      </c>
      <c r="N20" t="str">
        <f t="shared" si="7"/>
        <v>2025</v>
      </c>
      <c r="O20" s="3">
        <f t="shared" ca="1" si="8"/>
        <v>0.30000000000000004</v>
      </c>
      <c r="P20" s="3">
        <f ca="1">Table1[[#This Row],[Sales]]/Table1[[#This Row],[Target]]</f>
        <v>0.22361111111111112</v>
      </c>
    </row>
    <row r="21" spans="1:16" x14ac:dyDescent="0.3">
      <c r="A21" t="s">
        <v>32</v>
      </c>
      <c r="B21" s="2">
        <v>45767</v>
      </c>
      <c r="C21" t="str" cm="1">
        <f t="array" aca="1" ref="C21" ca="1">INDEX({"North","South","East","West"}, RANDBETWEEN(1,4))</f>
        <v>East</v>
      </c>
      <c r="D21" t="str" cm="1">
        <f t="array" aca="1" ref="D21" ca="1">INDEX({"Alan","Bob","Charlie","David"},RANDBETWEEN(1,4))</f>
        <v>Charlie</v>
      </c>
      <c r="E21" t="str" cm="1">
        <f t="array" aca="1" ref="E21" ca="1">INDEX({"Laptop","Smartphone","Smartwatch","Tablet","PC","Headphones"}, RANDBETWEEN(1,6))</f>
        <v>Smartphone</v>
      </c>
      <c r="F21" t="str" cm="1">
        <f t="array" aca="1" ref="F21" ca="1">_xlfn.SWITCH(E21,
 "Laptop","Computing",
 "Smartphone","Electronics",
 "Tablet","Electronics",
 "Smartwatch","Wearables",
 "PC","Computing",
 "Headphones","Accessories",
 "Unknown")</f>
        <v>Electronics</v>
      </c>
      <c r="G21">
        <f t="shared" ca="1" si="0"/>
        <v>3</v>
      </c>
      <c r="H21">
        <f t="shared" ca="1" si="1"/>
        <v>259</v>
      </c>
      <c r="I21">
        <f t="shared" ca="1" si="2"/>
        <v>777</v>
      </c>
      <c r="J21" s="5">
        <f t="shared" ca="1" si="3"/>
        <v>543.9</v>
      </c>
      <c r="K21" s="5">
        <f t="shared" ca="1" si="4"/>
        <v>233.10000000000002</v>
      </c>
      <c r="L21" s="5">
        <f t="shared" ca="1" si="5"/>
        <v>4755</v>
      </c>
      <c r="M21" t="str">
        <f t="shared" si="6"/>
        <v>Apr</v>
      </c>
      <c r="N21" t="str">
        <f t="shared" si="7"/>
        <v>2025</v>
      </c>
      <c r="O21" s="3">
        <f t="shared" ca="1" si="8"/>
        <v>0.30000000000000004</v>
      </c>
      <c r="P21" s="3">
        <f ca="1">Table1[[#This Row],[Sales]]/Table1[[#This Row],[Target]]</f>
        <v>0.16340694006309148</v>
      </c>
    </row>
    <row r="22" spans="1:16" x14ac:dyDescent="0.3">
      <c r="A22" t="s">
        <v>33</v>
      </c>
      <c r="B22" s="2">
        <v>45768</v>
      </c>
      <c r="C22" t="str" cm="1">
        <f t="array" aca="1" ref="C22" ca="1">INDEX({"North","South","East","West"}, RANDBETWEEN(1,4))</f>
        <v>South</v>
      </c>
      <c r="D22" t="str" cm="1">
        <f t="array" aca="1" ref="D22" ca="1">INDEX({"Alan","Bob","Charlie","David"},RANDBETWEEN(1,4))</f>
        <v>Bob</v>
      </c>
      <c r="E22" t="str" cm="1">
        <f t="array" aca="1" ref="E22" ca="1">INDEX({"Laptop","Smartphone","Smartwatch","Tablet","PC","Headphones"}, RANDBETWEEN(1,6))</f>
        <v>PC</v>
      </c>
      <c r="F22" t="str" cm="1">
        <f t="array" aca="1" ref="F22" ca="1">_xlfn.SWITCH(E22,
 "Laptop","Computing",
 "Smartphone","Electronics",
 "Tablet","Electronics",
 "Smartwatch","Wearables",
 "PC","Computing",
 "Headphones","Accessories",
 "Unknown")</f>
        <v>Computing</v>
      </c>
      <c r="G22">
        <f t="shared" ca="1" si="0"/>
        <v>5</v>
      </c>
      <c r="H22">
        <f t="shared" ca="1" si="1"/>
        <v>343</v>
      </c>
      <c r="I22">
        <f t="shared" ca="1" si="2"/>
        <v>1715</v>
      </c>
      <c r="J22" s="5">
        <f t="shared" ca="1" si="3"/>
        <v>1200.5</v>
      </c>
      <c r="K22" s="5">
        <f t="shared" ca="1" si="4"/>
        <v>514.5</v>
      </c>
      <c r="L22" s="5">
        <f t="shared" ca="1" si="5"/>
        <v>4924</v>
      </c>
      <c r="M22" t="str">
        <f t="shared" si="6"/>
        <v>Apr</v>
      </c>
      <c r="N22" t="str">
        <f t="shared" si="7"/>
        <v>2025</v>
      </c>
      <c r="O22" s="3">
        <f t="shared" ca="1" si="8"/>
        <v>0.3</v>
      </c>
      <c r="P22" s="3">
        <f ca="1">Table1[[#This Row],[Sales]]/Table1[[#This Row],[Target]]</f>
        <v>0.34829406986190087</v>
      </c>
    </row>
    <row r="23" spans="1:16" x14ac:dyDescent="0.3">
      <c r="A23" t="s">
        <v>34</v>
      </c>
      <c r="B23" s="2">
        <v>45769</v>
      </c>
      <c r="C23" t="str" cm="1">
        <f t="array" aca="1" ref="C23" ca="1">INDEX({"North","South","East","West"}, RANDBETWEEN(1,4))</f>
        <v>North</v>
      </c>
      <c r="D23" t="str" cm="1">
        <f t="array" aca="1" ref="D23" ca="1">INDEX({"Alan","Bob","Charlie","David"},RANDBETWEEN(1,4))</f>
        <v>Alan</v>
      </c>
      <c r="E23" t="str" cm="1">
        <f t="array" aca="1" ref="E23" ca="1">INDEX({"Laptop","Smartphone","Smartwatch","Tablet","PC","Headphones"}, RANDBETWEEN(1,6))</f>
        <v>Smartphone</v>
      </c>
      <c r="F23" t="str" cm="1">
        <f t="array" aca="1" ref="F23" ca="1">_xlfn.SWITCH(E23,
 "Laptop","Computing",
 "Smartphone","Electronics",
 "Tablet","Electronics",
 "Smartwatch","Wearables",
 "PC","Computing",
 "Headphones","Accessories",
 "Unknown")</f>
        <v>Electronics</v>
      </c>
      <c r="G23">
        <f t="shared" ca="1" si="0"/>
        <v>3</v>
      </c>
      <c r="H23">
        <f t="shared" ca="1" si="1"/>
        <v>263</v>
      </c>
      <c r="I23">
        <f t="shared" ca="1" si="2"/>
        <v>789</v>
      </c>
      <c r="J23" s="5">
        <f t="shared" ca="1" si="3"/>
        <v>552.29999999999995</v>
      </c>
      <c r="K23" s="5">
        <f t="shared" ca="1" si="4"/>
        <v>236.70000000000005</v>
      </c>
      <c r="L23" s="5">
        <f t="shared" ca="1" si="5"/>
        <v>3250</v>
      </c>
      <c r="M23" t="str">
        <f t="shared" si="6"/>
        <v>Apr</v>
      </c>
      <c r="N23" t="str">
        <f t="shared" si="7"/>
        <v>2025</v>
      </c>
      <c r="O23" s="3">
        <f t="shared" ca="1" si="8"/>
        <v>0.30000000000000004</v>
      </c>
      <c r="P23" s="3">
        <f ca="1">Table1[[#This Row],[Sales]]/Table1[[#This Row],[Target]]</f>
        <v>0.24276923076923076</v>
      </c>
    </row>
    <row r="24" spans="1:16" x14ac:dyDescent="0.3">
      <c r="A24" t="s">
        <v>35</v>
      </c>
      <c r="B24" s="2">
        <v>45770</v>
      </c>
      <c r="C24" t="str" cm="1">
        <f t="array" aca="1" ref="C24" ca="1">INDEX({"North","South","East","West"}, RANDBETWEEN(1,4))</f>
        <v>South</v>
      </c>
      <c r="D24" t="str" cm="1">
        <f t="array" aca="1" ref="D24" ca="1">INDEX({"Alan","Bob","Charlie","David"},RANDBETWEEN(1,4))</f>
        <v>Alan</v>
      </c>
      <c r="E24" t="str" cm="1">
        <f t="array" aca="1" ref="E24" ca="1">INDEX({"Laptop","Smartphone","Smartwatch","Tablet","PC","Headphones"}, RANDBETWEEN(1,6))</f>
        <v>Smartwatch</v>
      </c>
      <c r="F24" t="str" cm="1">
        <f t="array" aca="1" ref="F24" ca="1">_xlfn.SWITCH(E24,
 "Laptop","Computing",
 "Smartphone","Electronics",
 "Tablet","Electronics",
 "Smartwatch","Wearables",
 "PC","Computing",
 "Headphones","Accessories",
 "Unknown")</f>
        <v>Wearables</v>
      </c>
      <c r="G24">
        <f t="shared" ca="1" si="0"/>
        <v>3</v>
      </c>
      <c r="H24">
        <f t="shared" ca="1" si="1"/>
        <v>123</v>
      </c>
      <c r="I24">
        <f t="shared" ca="1" si="2"/>
        <v>369</v>
      </c>
      <c r="J24" s="5">
        <f t="shared" ca="1" si="3"/>
        <v>258.3</v>
      </c>
      <c r="K24" s="5">
        <f t="shared" ca="1" si="4"/>
        <v>110.69999999999999</v>
      </c>
      <c r="L24" s="5">
        <f t="shared" ca="1" si="5"/>
        <v>3737</v>
      </c>
      <c r="M24" t="str">
        <f t="shared" si="6"/>
        <v>Apr</v>
      </c>
      <c r="N24" t="str">
        <f t="shared" si="7"/>
        <v>2025</v>
      </c>
      <c r="O24" s="3">
        <f t="shared" ca="1" si="8"/>
        <v>0.3</v>
      </c>
      <c r="P24" s="3">
        <f ca="1">Table1[[#This Row],[Sales]]/Table1[[#This Row],[Target]]</f>
        <v>9.8742306663098744E-2</v>
      </c>
    </row>
    <row r="25" spans="1:16" x14ac:dyDescent="0.3">
      <c r="A25" t="s">
        <v>36</v>
      </c>
      <c r="B25" s="2">
        <v>45771</v>
      </c>
      <c r="C25" t="str" cm="1">
        <f t="array" aca="1" ref="C25" ca="1">INDEX({"North","South","East","West"}, RANDBETWEEN(1,4))</f>
        <v>South</v>
      </c>
      <c r="D25" t="str" cm="1">
        <f t="array" aca="1" ref="D25" ca="1">INDEX({"Alan","Bob","Charlie","David"},RANDBETWEEN(1,4))</f>
        <v>Charlie</v>
      </c>
      <c r="E25" t="str" cm="1">
        <f t="array" aca="1" ref="E25" ca="1">INDEX({"Laptop","Smartphone","Smartwatch","Tablet","PC","Headphones"}, RANDBETWEEN(1,6))</f>
        <v>Smartphone</v>
      </c>
      <c r="F25" t="str" cm="1">
        <f t="array" aca="1" ref="F25" ca="1">_xlfn.SWITCH(E25,
 "Laptop","Computing",
 "Smartphone","Electronics",
 "Tablet","Electronics",
 "Smartwatch","Wearables",
 "PC","Computing",
 "Headphones","Accessories",
 "Unknown")</f>
        <v>Electronics</v>
      </c>
      <c r="G25">
        <f t="shared" ca="1" si="0"/>
        <v>4</v>
      </c>
      <c r="H25">
        <f t="shared" ca="1" si="1"/>
        <v>355</v>
      </c>
      <c r="I25">
        <f t="shared" ca="1" si="2"/>
        <v>1420</v>
      </c>
      <c r="J25" s="5">
        <f t="shared" ca="1" si="3"/>
        <v>993.99999999999989</v>
      </c>
      <c r="K25" s="5">
        <f t="shared" ca="1" si="4"/>
        <v>426.00000000000011</v>
      </c>
      <c r="L25" s="5">
        <f t="shared" ca="1" si="5"/>
        <v>4794</v>
      </c>
      <c r="M25" t="str">
        <f t="shared" si="6"/>
        <v>Apr</v>
      </c>
      <c r="N25" t="str">
        <f t="shared" si="7"/>
        <v>2025</v>
      </c>
      <c r="O25" s="3">
        <f t="shared" ca="1" si="8"/>
        <v>0.3000000000000001</v>
      </c>
      <c r="P25" s="3">
        <f ca="1">Table1[[#This Row],[Sales]]/Table1[[#This Row],[Target]]</f>
        <v>0.29620358781810596</v>
      </c>
    </row>
    <row r="26" spans="1:16" x14ac:dyDescent="0.3">
      <c r="A26" t="s">
        <v>37</v>
      </c>
      <c r="B26" s="2">
        <v>45772</v>
      </c>
      <c r="C26" t="str" cm="1">
        <f t="array" aca="1" ref="C26" ca="1">INDEX({"North","South","East","West"}, RANDBETWEEN(1,4))</f>
        <v>South</v>
      </c>
      <c r="D26" t="str" cm="1">
        <f t="array" aca="1" ref="D26" ca="1">INDEX({"Alan","Bob","Charlie","David"},RANDBETWEEN(1,4))</f>
        <v>Bob</v>
      </c>
      <c r="E26" t="str" cm="1">
        <f t="array" aca="1" ref="E26" ca="1">INDEX({"Laptop","Smartphone","Smartwatch","Tablet","PC","Headphones"}, RANDBETWEEN(1,6))</f>
        <v>Smartphone</v>
      </c>
      <c r="F26" t="str" cm="1">
        <f t="array" aca="1" ref="F26" ca="1">_xlfn.SWITCH(E26,
 "Laptop","Computing",
 "Smartphone","Electronics",
 "Tablet","Electronics",
 "Smartwatch","Wearables",
 "PC","Computing",
 "Headphones","Accessories",
 "Unknown")</f>
        <v>Electronics</v>
      </c>
      <c r="G26">
        <f t="shared" ca="1" si="0"/>
        <v>5</v>
      </c>
      <c r="H26">
        <f t="shared" ca="1" si="1"/>
        <v>796</v>
      </c>
      <c r="I26">
        <f t="shared" ca="1" si="2"/>
        <v>3980</v>
      </c>
      <c r="J26" s="5">
        <f t="shared" ca="1" si="3"/>
        <v>2786</v>
      </c>
      <c r="K26" s="5">
        <f t="shared" ca="1" si="4"/>
        <v>1194</v>
      </c>
      <c r="L26" s="5">
        <f t="shared" ca="1" si="5"/>
        <v>4416</v>
      </c>
      <c r="M26" t="str">
        <f t="shared" si="6"/>
        <v>Apr</v>
      </c>
      <c r="N26" t="str">
        <f t="shared" si="7"/>
        <v>2025</v>
      </c>
      <c r="O26" s="3">
        <f t="shared" ca="1" si="8"/>
        <v>0.3</v>
      </c>
      <c r="P26" s="3">
        <f ca="1">Table1[[#This Row],[Sales]]/Table1[[#This Row],[Target]]</f>
        <v>0.90126811594202894</v>
      </c>
    </row>
    <row r="27" spans="1:16" x14ac:dyDescent="0.3">
      <c r="A27" t="s">
        <v>38</v>
      </c>
      <c r="B27" s="2">
        <v>45773</v>
      </c>
      <c r="C27" t="str" cm="1">
        <f t="array" aca="1" ref="C27" ca="1">INDEX({"North","South","East","West"}, RANDBETWEEN(1,4))</f>
        <v>East</v>
      </c>
      <c r="D27" t="str" cm="1">
        <f t="array" aca="1" ref="D27" ca="1">INDEX({"Alan","Bob","Charlie","David"},RANDBETWEEN(1,4))</f>
        <v>David</v>
      </c>
      <c r="E27" t="str" cm="1">
        <f t="array" aca="1" ref="E27" ca="1">INDEX({"Laptop","Smartphone","Smartwatch","Tablet","PC","Headphones"}, RANDBETWEEN(1,6))</f>
        <v>Tablet</v>
      </c>
      <c r="F27" t="str" cm="1">
        <f t="array" aca="1" ref="F27" ca="1">_xlfn.SWITCH(E27,
 "Laptop","Computing",
 "Smartphone","Electronics",
 "Tablet","Electronics",
 "Smartwatch","Wearables",
 "PC","Computing",
 "Headphones","Accessories",
 "Unknown")</f>
        <v>Electronics</v>
      </c>
      <c r="G27">
        <f t="shared" ca="1" si="0"/>
        <v>1</v>
      </c>
      <c r="H27">
        <f t="shared" ca="1" si="1"/>
        <v>747</v>
      </c>
      <c r="I27">
        <f t="shared" ca="1" si="2"/>
        <v>747</v>
      </c>
      <c r="J27" s="5">
        <f t="shared" ca="1" si="3"/>
        <v>522.9</v>
      </c>
      <c r="K27" s="5">
        <f t="shared" ca="1" si="4"/>
        <v>224.10000000000002</v>
      </c>
      <c r="L27" s="5">
        <f t="shared" ca="1" si="5"/>
        <v>3070</v>
      </c>
      <c r="M27" t="str">
        <f t="shared" si="6"/>
        <v>Apr</v>
      </c>
      <c r="N27" t="str">
        <f t="shared" si="7"/>
        <v>2025</v>
      </c>
      <c r="O27" s="3">
        <f t="shared" ca="1" si="8"/>
        <v>0.30000000000000004</v>
      </c>
      <c r="P27" s="3">
        <f ca="1">Table1[[#This Row],[Sales]]/Table1[[#This Row],[Target]]</f>
        <v>0.24332247557003259</v>
      </c>
    </row>
    <row r="28" spans="1:16" x14ac:dyDescent="0.3">
      <c r="A28" t="s">
        <v>39</v>
      </c>
      <c r="B28" s="2">
        <v>45774</v>
      </c>
      <c r="C28" t="str" cm="1">
        <f t="array" aca="1" ref="C28" ca="1">INDEX({"North","South","East","West"}, RANDBETWEEN(1,4))</f>
        <v>East</v>
      </c>
      <c r="D28" t="str" cm="1">
        <f t="array" aca="1" ref="D28" ca="1">INDEX({"Alan","Bob","Charlie","David"},RANDBETWEEN(1,4))</f>
        <v>Bob</v>
      </c>
      <c r="E28" t="str" cm="1">
        <f t="array" aca="1" ref="E28" ca="1">INDEX({"Laptop","Smartphone","Smartwatch","Tablet","PC","Headphones"}, RANDBETWEEN(1,6))</f>
        <v>PC</v>
      </c>
      <c r="F28" t="str" cm="1">
        <f t="array" aca="1" ref="F28" ca="1">_xlfn.SWITCH(E28,
 "Laptop","Computing",
 "Smartphone","Electronics",
 "Tablet","Electronics",
 "Smartwatch","Wearables",
 "PC","Computing",
 "Headphones","Accessories",
 "Unknown")</f>
        <v>Computing</v>
      </c>
      <c r="G28">
        <f t="shared" ca="1" si="0"/>
        <v>7</v>
      </c>
      <c r="H28">
        <f t="shared" ca="1" si="1"/>
        <v>826</v>
      </c>
      <c r="I28">
        <f t="shared" ca="1" si="2"/>
        <v>5782</v>
      </c>
      <c r="J28" s="5">
        <f t="shared" ca="1" si="3"/>
        <v>4047.3999999999996</v>
      </c>
      <c r="K28" s="5">
        <f t="shared" ca="1" si="4"/>
        <v>1734.6000000000004</v>
      </c>
      <c r="L28" s="5">
        <f t="shared" ca="1" si="5"/>
        <v>4255</v>
      </c>
      <c r="M28" t="str">
        <f t="shared" si="6"/>
        <v>Apr</v>
      </c>
      <c r="N28" t="str">
        <f t="shared" si="7"/>
        <v>2025</v>
      </c>
      <c r="O28" s="3">
        <f t="shared" ca="1" si="8"/>
        <v>0.30000000000000004</v>
      </c>
      <c r="P28" s="3">
        <f ca="1">Table1[[#This Row],[Sales]]/Table1[[#This Row],[Target]]</f>
        <v>1.3588719153936546</v>
      </c>
    </row>
    <row r="29" spans="1:16" x14ac:dyDescent="0.3">
      <c r="A29" t="s">
        <v>40</v>
      </c>
      <c r="B29" s="2">
        <v>45775</v>
      </c>
      <c r="C29" t="str" cm="1">
        <f t="array" aca="1" ref="C29" ca="1">INDEX({"North","South","East","West"}, RANDBETWEEN(1,4))</f>
        <v>North</v>
      </c>
      <c r="D29" t="str" cm="1">
        <f t="array" aca="1" ref="D29" ca="1">INDEX({"Alan","Bob","Charlie","David"},RANDBETWEEN(1,4))</f>
        <v>Alan</v>
      </c>
      <c r="E29" t="str" cm="1">
        <f t="array" aca="1" ref="E29" ca="1">INDEX({"Laptop","Smartphone","Smartwatch","Tablet","PC","Headphones"}, RANDBETWEEN(1,6))</f>
        <v>Tablet</v>
      </c>
      <c r="F29" t="str" cm="1">
        <f t="array" aca="1" ref="F29" ca="1">_xlfn.SWITCH(E29,
 "Laptop","Computing",
 "Smartphone","Electronics",
 "Tablet","Electronics",
 "Smartwatch","Wearables",
 "PC","Computing",
 "Headphones","Accessories",
 "Unknown")</f>
        <v>Electronics</v>
      </c>
      <c r="G29">
        <f t="shared" ca="1" si="0"/>
        <v>7</v>
      </c>
      <c r="H29">
        <f t="shared" ca="1" si="1"/>
        <v>456</v>
      </c>
      <c r="I29">
        <f t="shared" ca="1" si="2"/>
        <v>3192</v>
      </c>
      <c r="J29" s="5">
        <f t="shared" ca="1" si="3"/>
        <v>2234.3999999999996</v>
      </c>
      <c r="K29" s="5">
        <f t="shared" ca="1" si="4"/>
        <v>957.60000000000036</v>
      </c>
      <c r="L29" s="5">
        <f t="shared" ca="1" si="5"/>
        <v>4785</v>
      </c>
      <c r="M29" t="str">
        <f t="shared" si="6"/>
        <v>Apr</v>
      </c>
      <c r="N29" t="str">
        <f t="shared" si="7"/>
        <v>2025</v>
      </c>
      <c r="O29" s="3">
        <f t="shared" ca="1" si="8"/>
        <v>0.3000000000000001</v>
      </c>
      <c r="P29" s="3">
        <f ca="1">Table1[[#This Row],[Sales]]/Table1[[#This Row],[Target]]</f>
        <v>0.66708463949843255</v>
      </c>
    </row>
    <row r="30" spans="1:16" x14ac:dyDescent="0.3">
      <c r="A30" t="s">
        <v>41</v>
      </c>
      <c r="B30" s="2">
        <v>45776</v>
      </c>
      <c r="C30" t="str" cm="1">
        <f t="array" aca="1" ref="C30" ca="1">INDEX({"North","South","East","West"}, RANDBETWEEN(1,4))</f>
        <v>West</v>
      </c>
      <c r="D30" t="str" cm="1">
        <f t="array" aca="1" ref="D30" ca="1">INDEX({"Alan","Bob","Charlie","David"},RANDBETWEEN(1,4))</f>
        <v>Bob</v>
      </c>
      <c r="E30" t="str" cm="1">
        <f t="array" aca="1" ref="E30" ca="1">INDEX({"Laptop","Smartphone","Smartwatch","Tablet","PC","Headphones"}, RANDBETWEEN(1,6))</f>
        <v>Smartwatch</v>
      </c>
      <c r="F30" t="str" cm="1">
        <f t="array" aca="1" ref="F30" ca="1">_xlfn.SWITCH(E30,
 "Laptop","Computing",
 "Smartphone","Electronics",
 "Tablet","Electronics",
 "Smartwatch","Wearables",
 "PC","Computing",
 "Headphones","Accessories",
 "Unknown")</f>
        <v>Wearables</v>
      </c>
      <c r="G30">
        <f t="shared" ca="1" si="0"/>
        <v>7</v>
      </c>
      <c r="H30">
        <f t="shared" ca="1" si="1"/>
        <v>163</v>
      </c>
      <c r="I30">
        <f t="shared" ca="1" si="2"/>
        <v>1141</v>
      </c>
      <c r="J30" s="5">
        <f t="shared" ca="1" si="3"/>
        <v>798.69999999999993</v>
      </c>
      <c r="K30" s="5">
        <f t="shared" ca="1" si="4"/>
        <v>342.30000000000007</v>
      </c>
      <c r="L30" s="5">
        <f t="shared" ca="1" si="5"/>
        <v>3566</v>
      </c>
      <c r="M30" t="str">
        <f t="shared" si="6"/>
        <v>Apr</v>
      </c>
      <c r="N30" t="str">
        <f t="shared" si="7"/>
        <v>2025</v>
      </c>
      <c r="O30" s="3">
        <f t="shared" ca="1" si="8"/>
        <v>0.30000000000000004</v>
      </c>
      <c r="P30" s="3">
        <f ca="1">Table1[[#This Row],[Sales]]/Table1[[#This Row],[Target]]</f>
        <v>0.31996634885025238</v>
      </c>
    </row>
    <row r="31" spans="1:16" x14ac:dyDescent="0.3">
      <c r="A31" t="s">
        <v>42</v>
      </c>
      <c r="B31" s="2">
        <v>45777</v>
      </c>
      <c r="C31" t="str" cm="1">
        <f t="array" aca="1" ref="C31" ca="1">INDEX({"North","South","East","West"}, RANDBETWEEN(1,4))</f>
        <v>South</v>
      </c>
      <c r="D31" t="str" cm="1">
        <f t="array" aca="1" ref="D31" ca="1">INDEX({"Alan","Bob","Charlie","David"},RANDBETWEEN(1,4))</f>
        <v>Bob</v>
      </c>
      <c r="E31" t="str" cm="1">
        <f t="array" aca="1" ref="E31" ca="1">INDEX({"Laptop","Smartphone","Smartwatch","Tablet","PC","Headphones"}, RANDBETWEEN(1,6))</f>
        <v>Laptop</v>
      </c>
      <c r="F31" t="str" cm="1">
        <f t="array" aca="1" ref="F31" ca="1">_xlfn.SWITCH(E31,
 "Laptop","Computing",
 "Smartphone","Electronics",
 "Tablet","Electronics",
 "Smartwatch","Wearables",
 "PC","Computing",
 "Headphones","Accessories",
 "Unknown")</f>
        <v>Computing</v>
      </c>
      <c r="G31">
        <f t="shared" ca="1" si="0"/>
        <v>8</v>
      </c>
      <c r="H31">
        <f t="shared" ca="1" si="1"/>
        <v>865</v>
      </c>
      <c r="I31">
        <f t="shared" ca="1" si="2"/>
        <v>6920</v>
      </c>
      <c r="J31" s="5">
        <f t="shared" ca="1" si="3"/>
        <v>4844</v>
      </c>
      <c r="K31" s="5">
        <f t="shared" ca="1" si="4"/>
        <v>2076</v>
      </c>
      <c r="L31" s="5">
        <f t="shared" ca="1" si="5"/>
        <v>3145</v>
      </c>
      <c r="M31" t="str">
        <f t="shared" si="6"/>
        <v>Apr</v>
      </c>
      <c r="N31" t="str">
        <f t="shared" si="7"/>
        <v>2025</v>
      </c>
      <c r="O31" s="3">
        <f t="shared" ca="1" si="8"/>
        <v>0.3</v>
      </c>
      <c r="P31" s="3">
        <f ca="1">Table1[[#This Row],[Sales]]/Table1[[#This Row],[Target]]</f>
        <v>2.2003179650238476</v>
      </c>
    </row>
    <row r="32" spans="1:16" x14ac:dyDescent="0.3">
      <c r="A32" t="s">
        <v>43</v>
      </c>
      <c r="B32" s="2">
        <v>45778</v>
      </c>
      <c r="C32" t="str" cm="1">
        <f t="array" aca="1" ref="C32" ca="1">INDEX({"North","South","East","West"}, RANDBETWEEN(1,4))</f>
        <v>West</v>
      </c>
      <c r="D32" t="str" cm="1">
        <f t="array" aca="1" ref="D32" ca="1">INDEX({"Alan","Bob","Charlie","David"},RANDBETWEEN(1,4))</f>
        <v>Charlie</v>
      </c>
      <c r="E32" t="str" cm="1">
        <f t="array" aca="1" ref="E32" ca="1">INDEX({"Laptop","Smartphone","Smartwatch","Tablet","PC","Headphones"}, RANDBETWEEN(1,6))</f>
        <v>Laptop</v>
      </c>
      <c r="F32" t="str" cm="1">
        <f t="array" aca="1" ref="F32" ca="1">_xlfn.SWITCH(E32,
 "Laptop","Computing",
 "Smartphone","Electronics",
 "Tablet","Electronics",
 "Smartwatch","Wearables",
 "PC","Computing",
 "Headphones","Accessories",
 "Unknown")</f>
        <v>Computing</v>
      </c>
      <c r="G32">
        <f t="shared" ca="1" si="0"/>
        <v>6</v>
      </c>
      <c r="H32">
        <f t="shared" ca="1" si="1"/>
        <v>829</v>
      </c>
      <c r="I32">
        <f t="shared" ca="1" si="2"/>
        <v>4974</v>
      </c>
      <c r="J32" s="5">
        <f t="shared" ca="1" si="3"/>
        <v>3481.7999999999997</v>
      </c>
      <c r="K32" s="5">
        <f t="shared" ca="1" si="4"/>
        <v>1492.2000000000003</v>
      </c>
      <c r="L32" s="5">
        <f t="shared" ca="1" si="5"/>
        <v>4129</v>
      </c>
      <c r="M32" t="str">
        <f t="shared" si="6"/>
        <v>May</v>
      </c>
      <c r="N32" t="str">
        <f t="shared" si="7"/>
        <v>2025</v>
      </c>
      <c r="O32" s="3">
        <f t="shared" ca="1" si="8"/>
        <v>0.30000000000000004</v>
      </c>
      <c r="P32" s="3">
        <f ca="1">Table1[[#This Row],[Sales]]/Table1[[#This Row],[Target]]</f>
        <v>1.2046500363284087</v>
      </c>
    </row>
    <row r="33" spans="1:16" x14ac:dyDescent="0.3">
      <c r="A33" t="s">
        <v>44</v>
      </c>
      <c r="B33" s="2">
        <v>45779</v>
      </c>
      <c r="C33" t="str" cm="1">
        <f t="array" aca="1" ref="C33" ca="1">INDEX({"North","South","East","West"}, RANDBETWEEN(1,4))</f>
        <v>North</v>
      </c>
      <c r="D33" t="str" cm="1">
        <f t="array" aca="1" ref="D33" ca="1">INDEX({"Alan","Bob","Charlie","David"},RANDBETWEEN(1,4))</f>
        <v>Charlie</v>
      </c>
      <c r="E33" t="str" cm="1">
        <f t="array" aca="1" ref="E33" ca="1">INDEX({"Laptop","Smartphone","Smartwatch","Tablet","PC","Headphones"}, RANDBETWEEN(1,6))</f>
        <v>Smartphone</v>
      </c>
      <c r="F33" t="str" cm="1">
        <f t="array" aca="1" ref="F33" ca="1">_xlfn.SWITCH(E33,
 "Laptop","Computing",
 "Smartphone","Electronics",
 "Tablet","Electronics",
 "Smartwatch","Wearables",
 "PC","Computing",
 "Headphones","Accessories",
 "Unknown")</f>
        <v>Electronics</v>
      </c>
      <c r="G33">
        <f t="shared" ca="1" si="0"/>
        <v>9</v>
      </c>
      <c r="H33">
        <f t="shared" ca="1" si="1"/>
        <v>919</v>
      </c>
      <c r="I33">
        <f t="shared" ca="1" si="2"/>
        <v>8271</v>
      </c>
      <c r="J33" s="5">
        <f t="shared" ca="1" si="3"/>
        <v>5789.7</v>
      </c>
      <c r="K33" s="5">
        <f t="shared" ca="1" si="4"/>
        <v>2481.3000000000002</v>
      </c>
      <c r="L33" s="5">
        <f t="shared" ca="1" si="5"/>
        <v>3011</v>
      </c>
      <c r="M33" t="str">
        <f t="shared" si="6"/>
        <v>May</v>
      </c>
      <c r="N33" t="str">
        <f t="shared" si="7"/>
        <v>2025</v>
      </c>
      <c r="O33" s="3">
        <f t="shared" ca="1" si="8"/>
        <v>0.30000000000000004</v>
      </c>
      <c r="P33" s="3">
        <f ca="1">Table1[[#This Row],[Sales]]/Table1[[#This Row],[Target]]</f>
        <v>2.7469279309199601</v>
      </c>
    </row>
    <row r="34" spans="1:16" x14ac:dyDescent="0.3">
      <c r="A34" t="s">
        <v>45</v>
      </c>
      <c r="B34" s="2">
        <v>45780</v>
      </c>
      <c r="C34" t="str" cm="1">
        <f t="array" aca="1" ref="C34" ca="1">INDEX({"North","South","East","West"}, RANDBETWEEN(1,4))</f>
        <v>West</v>
      </c>
      <c r="D34" t="str" cm="1">
        <f t="array" aca="1" ref="D34" ca="1">INDEX({"Alan","Bob","Charlie","David"},RANDBETWEEN(1,4))</f>
        <v>Alan</v>
      </c>
      <c r="E34" t="str" cm="1">
        <f t="array" aca="1" ref="E34" ca="1">INDEX({"Laptop","Smartphone","Smartwatch","Tablet","PC","Headphones"}, RANDBETWEEN(1,6))</f>
        <v>Headphones</v>
      </c>
      <c r="F34" t="str" cm="1">
        <f t="array" aca="1" ref="F34" ca="1">_xlfn.SWITCH(E34,
 "Laptop","Computing",
 "Smartphone","Electronics",
 "Tablet","Electronics",
 "Smartwatch","Wearables",
 "PC","Computing",
 "Headphones","Accessories",
 "Unknown")</f>
        <v>Accessories</v>
      </c>
      <c r="G34">
        <f t="shared" ca="1" si="0"/>
        <v>2</v>
      </c>
      <c r="H34">
        <f t="shared" ca="1" si="1"/>
        <v>767</v>
      </c>
      <c r="I34">
        <f t="shared" ca="1" si="2"/>
        <v>1534</v>
      </c>
      <c r="J34" s="5">
        <f t="shared" ca="1" si="3"/>
        <v>1073.8</v>
      </c>
      <c r="K34" s="5">
        <f t="shared" ca="1" si="4"/>
        <v>460.20000000000005</v>
      </c>
      <c r="L34" s="5">
        <f t="shared" ca="1" si="5"/>
        <v>3845</v>
      </c>
      <c r="M34" t="str">
        <f t="shared" si="6"/>
        <v>May</v>
      </c>
      <c r="N34" t="str">
        <f t="shared" si="7"/>
        <v>2025</v>
      </c>
      <c r="O34" s="3">
        <f t="shared" ca="1" si="8"/>
        <v>0.30000000000000004</v>
      </c>
      <c r="P34" s="3">
        <f ca="1">Table1[[#This Row],[Sales]]/Table1[[#This Row],[Target]]</f>
        <v>0.39895968790637193</v>
      </c>
    </row>
    <row r="35" spans="1:16" x14ac:dyDescent="0.3">
      <c r="A35" t="s">
        <v>46</v>
      </c>
      <c r="B35" s="2">
        <v>45781</v>
      </c>
      <c r="C35" t="str" cm="1">
        <f t="array" aca="1" ref="C35" ca="1">INDEX({"North","South","East","West"}, RANDBETWEEN(1,4))</f>
        <v>West</v>
      </c>
      <c r="D35" t="str" cm="1">
        <f t="array" aca="1" ref="D35" ca="1">INDEX({"Alan","Bob","Charlie","David"},RANDBETWEEN(1,4))</f>
        <v>Bob</v>
      </c>
      <c r="E35" t="str" cm="1">
        <f t="array" aca="1" ref="E35" ca="1">INDEX({"Laptop","Smartphone","Smartwatch","Tablet","PC","Headphones"}, RANDBETWEEN(1,6))</f>
        <v>Tablet</v>
      </c>
      <c r="F35" t="str" cm="1">
        <f t="array" aca="1" ref="F35" ca="1">_xlfn.SWITCH(E35,
 "Laptop","Computing",
 "Smartphone","Electronics",
 "Tablet","Electronics",
 "Smartwatch","Wearables",
 "PC","Computing",
 "Headphones","Accessories",
 "Unknown")</f>
        <v>Electronics</v>
      </c>
      <c r="G35">
        <f t="shared" ca="1" si="0"/>
        <v>2</v>
      </c>
      <c r="H35">
        <f t="shared" ca="1" si="1"/>
        <v>324</v>
      </c>
      <c r="I35">
        <f t="shared" ca="1" si="2"/>
        <v>648</v>
      </c>
      <c r="J35" s="5">
        <f t="shared" ca="1" si="3"/>
        <v>453.59999999999997</v>
      </c>
      <c r="K35" s="5">
        <f t="shared" ca="1" si="4"/>
        <v>194.40000000000003</v>
      </c>
      <c r="L35" s="5">
        <f t="shared" ca="1" si="5"/>
        <v>4161</v>
      </c>
      <c r="M35" t="str">
        <f t="shared" si="6"/>
        <v>May</v>
      </c>
      <c r="N35" t="str">
        <f t="shared" si="7"/>
        <v>2025</v>
      </c>
      <c r="O35" s="3">
        <f t="shared" ca="1" si="8"/>
        <v>0.30000000000000004</v>
      </c>
      <c r="P35" s="3">
        <f ca="1">Table1[[#This Row],[Sales]]/Table1[[#This Row],[Target]]</f>
        <v>0.15573179524152847</v>
      </c>
    </row>
    <row r="36" spans="1:16" x14ac:dyDescent="0.3">
      <c r="A36" t="s">
        <v>47</v>
      </c>
      <c r="B36" s="2">
        <v>45782</v>
      </c>
      <c r="C36" t="str" cm="1">
        <f t="array" aca="1" ref="C36" ca="1">INDEX({"North","South","East","West"}, RANDBETWEEN(1,4))</f>
        <v>West</v>
      </c>
      <c r="D36" t="str" cm="1">
        <f t="array" aca="1" ref="D36" ca="1">INDEX({"Alan","Bob","Charlie","David"},RANDBETWEEN(1,4))</f>
        <v>David</v>
      </c>
      <c r="E36" t="str" cm="1">
        <f t="array" aca="1" ref="E36" ca="1">INDEX({"Laptop","Smartphone","Smartwatch","Tablet","PC","Headphones"}, RANDBETWEEN(1,6))</f>
        <v>PC</v>
      </c>
      <c r="F36" t="str" cm="1">
        <f t="array" aca="1" ref="F36" ca="1">_xlfn.SWITCH(E36,
 "Laptop","Computing",
 "Smartphone","Electronics",
 "Tablet","Electronics",
 "Smartwatch","Wearables",
 "PC","Computing",
 "Headphones","Accessories",
 "Unknown")</f>
        <v>Computing</v>
      </c>
      <c r="G36">
        <f t="shared" ca="1" si="0"/>
        <v>10</v>
      </c>
      <c r="H36">
        <f t="shared" ca="1" si="1"/>
        <v>431</v>
      </c>
      <c r="I36">
        <f t="shared" ca="1" si="2"/>
        <v>4310</v>
      </c>
      <c r="J36" s="5">
        <f t="shared" ca="1" si="3"/>
        <v>3017</v>
      </c>
      <c r="K36" s="5">
        <f t="shared" ca="1" si="4"/>
        <v>1293</v>
      </c>
      <c r="L36" s="5">
        <f t="shared" ca="1" si="5"/>
        <v>4641</v>
      </c>
      <c r="M36" t="str">
        <f t="shared" si="6"/>
        <v>May</v>
      </c>
      <c r="N36" t="str">
        <f t="shared" si="7"/>
        <v>2025</v>
      </c>
      <c r="O36" s="3">
        <f t="shared" ca="1" si="8"/>
        <v>0.3</v>
      </c>
      <c r="P36" s="3">
        <f ca="1">Table1[[#This Row],[Sales]]/Table1[[#This Row],[Target]]</f>
        <v>0.92867916397328165</v>
      </c>
    </row>
    <row r="37" spans="1:16" x14ac:dyDescent="0.3">
      <c r="A37" t="s">
        <v>48</v>
      </c>
      <c r="B37" s="2">
        <v>45783</v>
      </c>
      <c r="C37" t="str" cm="1">
        <f t="array" aca="1" ref="C37" ca="1">INDEX({"North","South","East","West"}, RANDBETWEEN(1,4))</f>
        <v>East</v>
      </c>
      <c r="D37" t="str" cm="1">
        <f t="array" aca="1" ref="D37" ca="1">INDEX({"Alan","Bob","Charlie","David"},RANDBETWEEN(1,4))</f>
        <v>David</v>
      </c>
      <c r="E37" t="str" cm="1">
        <f t="array" aca="1" ref="E37" ca="1">INDEX({"Laptop","Smartphone","Smartwatch","Tablet","PC","Headphones"}, RANDBETWEEN(1,6))</f>
        <v>Laptop</v>
      </c>
      <c r="F37" t="str" cm="1">
        <f t="array" aca="1" ref="F37" ca="1">_xlfn.SWITCH(E37,
 "Laptop","Computing",
 "Smartphone","Electronics",
 "Tablet","Electronics",
 "Smartwatch","Wearables",
 "PC","Computing",
 "Headphones","Accessories",
 "Unknown")</f>
        <v>Computing</v>
      </c>
      <c r="G37">
        <f t="shared" ca="1" si="0"/>
        <v>9</v>
      </c>
      <c r="H37">
        <f t="shared" ca="1" si="1"/>
        <v>107</v>
      </c>
      <c r="I37">
        <f t="shared" ca="1" si="2"/>
        <v>963</v>
      </c>
      <c r="J37" s="5">
        <f t="shared" ca="1" si="3"/>
        <v>674.09999999999991</v>
      </c>
      <c r="K37" s="5">
        <f t="shared" ca="1" si="4"/>
        <v>288.90000000000009</v>
      </c>
      <c r="L37" s="5">
        <f t="shared" ca="1" si="5"/>
        <v>3084</v>
      </c>
      <c r="M37" t="str">
        <f t="shared" si="6"/>
        <v>May</v>
      </c>
      <c r="N37" t="str">
        <f t="shared" si="7"/>
        <v>2025</v>
      </c>
      <c r="O37" s="3">
        <f t="shared" ca="1" si="8"/>
        <v>0.3000000000000001</v>
      </c>
      <c r="P37" s="3">
        <f ca="1">Table1[[#This Row],[Sales]]/Table1[[#This Row],[Target]]</f>
        <v>0.3122568093385214</v>
      </c>
    </row>
    <row r="38" spans="1:16" x14ac:dyDescent="0.3">
      <c r="A38" t="s">
        <v>49</v>
      </c>
      <c r="B38" s="2">
        <v>45784</v>
      </c>
      <c r="C38" t="str" cm="1">
        <f t="array" aca="1" ref="C38" ca="1">INDEX({"North","South","East","West"}, RANDBETWEEN(1,4))</f>
        <v>South</v>
      </c>
      <c r="D38" t="str" cm="1">
        <f t="array" aca="1" ref="D38" ca="1">INDEX({"Alan","Bob","Charlie","David"},RANDBETWEEN(1,4))</f>
        <v>Bob</v>
      </c>
      <c r="E38" t="str" cm="1">
        <f t="array" aca="1" ref="E38" ca="1">INDEX({"Laptop","Smartphone","Smartwatch","Tablet","PC","Headphones"}, RANDBETWEEN(1,6))</f>
        <v>PC</v>
      </c>
      <c r="F38" t="str" cm="1">
        <f t="array" aca="1" ref="F38" ca="1">_xlfn.SWITCH(E38,
 "Laptop","Computing",
 "Smartphone","Electronics",
 "Tablet","Electronics",
 "Smartwatch","Wearables",
 "PC","Computing",
 "Headphones","Accessories",
 "Unknown")</f>
        <v>Computing</v>
      </c>
      <c r="G38">
        <f t="shared" ca="1" si="0"/>
        <v>3</v>
      </c>
      <c r="H38">
        <f t="shared" ca="1" si="1"/>
        <v>403</v>
      </c>
      <c r="I38">
        <f t="shared" ca="1" si="2"/>
        <v>1209</v>
      </c>
      <c r="J38" s="5">
        <f t="shared" ca="1" si="3"/>
        <v>846.3</v>
      </c>
      <c r="K38" s="5">
        <f t="shared" ca="1" si="4"/>
        <v>362.70000000000005</v>
      </c>
      <c r="L38" s="5">
        <f t="shared" ca="1" si="5"/>
        <v>4503</v>
      </c>
      <c r="M38" t="str">
        <f t="shared" si="6"/>
        <v>May</v>
      </c>
      <c r="N38" t="str">
        <f t="shared" si="7"/>
        <v>2025</v>
      </c>
      <c r="O38" s="3">
        <f t="shared" ca="1" si="8"/>
        <v>0.30000000000000004</v>
      </c>
      <c r="P38" s="3">
        <f ca="1">Table1[[#This Row],[Sales]]/Table1[[#This Row],[Target]]</f>
        <v>0.26848767488341108</v>
      </c>
    </row>
    <row r="39" spans="1:16" x14ac:dyDescent="0.3">
      <c r="A39" t="s">
        <v>50</v>
      </c>
      <c r="B39" s="2">
        <v>45785</v>
      </c>
      <c r="C39" t="str" cm="1">
        <f t="array" aca="1" ref="C39" ca="1">INDEX({"North","South","East","West"}, RANDBETWEEN(1,4))</f>
        <v>East</v>
      </c>
      <c r="D39" t="str" cm="1">
        <f t="array" aca="1" ref="D39" ca="1">INDEX({"Alan","Bob","Charlie","David"},RANDBETWEEN(1,4))</f>
        <v>Alan</v>
      </c>
      <c r="E39" t="str" cm="1">
        <f t="array" aca="1" ref="E39" ca="1">INDEX({"Laptop","Smartphone","Smartwatch","Tablet","PC","Headphones"}, RANDBETWEEN(1,6))</f>
        <v>PC</v>
      </c>
      <c r="F39" t="str" cm="1">
        <f t="array" aca="1" ref="F39" ca="1">_xlfn.SWITCH(E39,
 "Laptop","Computing",
 "Smartphone","Electronics",
 "Tablet","Electronics",
 "Smartwatch","Wearables",
 "PC","Computing",
 "Headphones","Accessories",
 "Unknown")</f>
        <v>Computing</v>
      </c>
      <c r="G39">
        <f t="shared" ca="1" si="0"/>
        <v>6</v>
      </c>
      <c r="H39">
        <f t="shared" ca="1" si="1"/>
        <v>369</v>
      </c>
      <c r="I39">
        <f t="shared" ca="1" si="2"/>
        <v>2214</v>
      </c>
      <c r="J39" s="5">
        <f t="shared" ca="1" si="3"/>
        <v>1549.8</v>
      </c>
      <c r="K39" s="5">
        <f t="shared" ca="1" si="4"/>
        <v>664.2</v>
      </c>
      <c r="L39" s="5">
        <f t="shared" ca="1" si="5"/>
        <v>2762</v>
      </c>
      <c r="M39" t="str">
        <f t="shared" si="6"/>
        <v>May</v>
      </c>
      <c r="N39" t="str">
        <f t="shared" si="7"/>
        <v>2025</v>
      </c>
      <c r="O39" s="3">
        <f t="shared" ca="1" si="8"/>
        <v>0.30000000000000004</v>
      </c>
      <c r="P39" s="3">
        <f ca="1">Table1[[#This Row],[Sales]]/Table1[[#This Row],[Target]]</f>
        <v>0.80159304851556845</v>
      </c>
    </row>
    <row r="40" spans="1:16" x14ac:dyDescent="0.3">
      <c r="A40" t="s">
        <v>51</v>
      </c>
      <c r="B40" s="2">
        <v>45786</v>
      </c>
      <c r="C40" t="str" cm="1">
        <f t="array" aca="1" ref="C40" ca="1">INDEX({"North","South","East","West"}, RANDBETWEEN(1,4))</f>
        <v>North</v>
      </c>
      <c r="D40" t="str" cm="1">
        <f t="array" aca="1" ref="D40" ca="1">INDEX({"Alan","Bob","Charlie","David"},RANDBETWEEN(1,4))</f>
        <v>Bob</v>
      </c>
      <c r="E40" t="str" cm="1">
        <f t="array" aca="1" ref="E40" ca="1">INDEX({"Laptop","Smartphone","Smartwatch","Tablet","PC","Headphones"}, RANDBETWEEN(1,6))</f>
        <v>Laptop</v>
      </c>
      <c r="F40" t="str" cm="1">
        <f t="array" aca="1" ref="F40" ca="1">_xlfn.SWITCH(E40,
 "Laptop","Computing",
 "Smartphone","Electronics",
 "Tablet","Electronics",
 "Smartwatch","Wearables",
 "PC","Computing",
 "Headphones","Accessories",
 "Unknown")</f>
        <v>Computing</v>
      </c>
      <c r="G40">
        <f t="shared" ca="1" si="0"/>
        <v>8</v>
      </c>
      <c r="H40">
        <f t="shared" ca="1" si="1"/>
        <v>820</v>
      </c>
      <c r="I40">
        <f t="shared" ca="1" si="2"/>
        <v>6560</v>
      </c>
      <c r="J40" s="5">
        <f t="shared" ca="1" si="3"/>
        <v>4592</v>
      </c>
      <c r="K40" s="5">
        <f t="shared" ca="1" si="4"/>
        <v>1968</v>
      </c>
      <c r="L40" s="5">
        <f t="shared" ca="1" si="5"/>
        <v>4668</v>
      </c>
      <c r="M40" t="str">
        <f t="shared" si="6"/>
        <v>May</v>
      </c>
      <c r="N40" t="str">
        <f t="shared" si="7"/>
        <v>2025</v>
      </c>
      <c r="O40" s="3">
        <f t="shared" ca="1" si="8"/>
        <v>0.3</v>
      </c>
      <c r="P40" s="3">
        <f ca="1">Table1[[#This Row],[Sales]]/Table1[[#This Row],[Target]]</f>
        <v>1.4053127677806341</v>
      </c>
    </row>
    <row r="41" spans="1:16" x14ac:dyDescent="0.3">
      <c r="A41" t="s">
        <v>52</v>
      </c>
      <c r="B41" s="2">
        <v>45787</v>
      </c>
      <c r="C41" t="str" cm="1">
        <f t="array" aca="1" ref="C41" ca="1">INDEX({"North","South","East","West"}, RANDBETWEEN(1,4))</f>
        <v>East</v>
      </c>
      <c r="D41" t="str" cm="1">
        <f t="array" aca="1" ref="D41" ca="1">INDEX({"Alan","Bob","Charlie","David"},RANDBETWEEN(1,4))</f>
        <v>David</v>
      </c>
      <c r="E41" t="str" cm="1">
        <f t="array" aca="1" ref="E41" ca="1">INDEX({"Laptop","Smartphone","Smartwatch","Tablet","PC","Headphones"}, RANDBETWEEN(1,6))</f>
        <v>Tablet</v>
      </c>
      <c r="F41" t="str" cm="1">
        <f t="array" aca="1" ref="F41" ca="1">_xlfn.SWITCH(E41,
 "Laptop","Computing",
 "Smartphone","Electronics",
 "Tablet","Electronics",
 "Smartwatch","Wearables",
 "PC","Computing",
 "Headphones","Accessories",
 "Unknown")</f>
        <v>Electronics</v>
      </c>
      <c r="G41">
        <f t="shared" ca="1" si="0"/>
        <v>9</v>
      </c>
      <c r="H41">
        <f t="shared" ca="1" si="1"/>
        <v>304</v>
      </c>
      <c r="I41">
        <f t="shared" ca="1" si="2"/>
        <v>2736</v>
      </c>
      <c r="J41" s="5">
        <f t="shared" ca="1" si="3"/>
        <v>1915.1999999999998</v>
      </c>
      <c r="K41" s="5">
        <f t="shared" ca="1" si="4"/>
        <v>820.80000000000018</v>
      </c>
      <c r="L41" s="5">
        <f t="shared" ca="1" si="5"/>
        <v>4945</v>
      </c>
      <c r="M41" t="str">
        <f t="shared" si="6"/>
        <v>May</v>
      </c>
      <c r="N41" t="str">
        <f t="shared" si="7"/>
        <v>2025</v>
      </c>
      <c r="O41" s="3">
        <f t="shared" ca="1" si="8"/>
        <v>0.30000000000000004</v>
      </c>
      <c r="P41" s="3">
        <f ca="1">Table1[[#This Row],[Sales]]/Table1[[#This Row],[Target]]</f>
        <v>0.55328614762386252</v>
      </c>
    </row>
    <row r="42" spans="1:16" x14ac:dyDescent="0.3">
      <c r="A42" t="s">
        <v>53</v>
      </c>
      <c r="B42" s="2">
        <v>45788</v>
      </c>
      <c r="C42" t="str" cm="1">
        <f t="array" aca="1" ref="C42" ca="1">INDEX({"North","South","East","West"}, RANDBETWEEN(1,4))</f>
        <v>North</v>
      </c>
      <c r="D42" t="str" cm="1">
        <f t="array" aca="1" ref="D42" ca="1">INDEX({"Alan","Bob","Charlie","David"},RANDBETWEEN(1,4))</f>
        <v>David</v>
      </c>
      <c r="E42" t="str" cm="1">
        <f t="array" aca="1" ref="E42" ca="1">INDEX({"Laptop","Smartphone","Smartwatch","Tablet","PC","Headphones"}, RANDBETWEEN(1,6))</f>
        <v>Headphones</v>
      </c>
      <c r="F42" t="str" cm="1">
        <f t="array" aca="1" ref="F42" ca="1">_xlfn.SWITCH(E42,
 "Laptop","Computing",
 "Smartphone","Electronics",
 "Tablet","Electronics",
 "Smartwatch","Wearables",
 "PC","Computing",
 "Headphones","Accessories",
 "Unknown")</f>
        <v>Accessories</v>
      </c>
      <c r="G42">
        <f t="shared" ca="1" si="0"/>
        <v>7</v>
      </c>
      <c r="H42">
        <f t="shared" ca="1" si="1"/>
        <v>462</v>
      </c>
      <c r="I42">
        <f t="shared" ca="1" si="2"/>
        <v>3234</v>
      </c>
      <c r="J42" s="5">
        <f t="shared" ca="1" si="3"/>
        <v>2263.7999999999997</v>
      </c>
      <c r="K42" s="5">
        <f t="shared" ca="1" si="4"/>
        <v>970.20000000000027</v>
      </c>
      <c r="L42" s="5">
        <f t="shared" ca="1" si="5"/>
        <v>4706</v>
      </c>
      <c r="M42" t="str">
        <f t="shared" si="6"/>
        <v>May</v>
      </c>
      <c r="N42" t="str">
        <f t="shared" si="7"/>
        <v>2025</v>
      </c>
      <c r="O42" s="3">
        <f t="shared" ca="1" si="8"/>
        <v>0.3000000000000001</v>
      </c>
      <c r="P42" s="3">
        <f ca="1">Table1[[#This Row],[Sales]]/Table1[[#This Row],[Target]]</f>
        <v>0.68720781980450485</v>
      </c>
    </row>
    <row r="43" spans="1:16" x14ac:dyDescent="0.3">
      <c r="A43" t="s">
        <v>54</v>
      </c>
      <c r="B43" s="2">
        <v>45789</v>
      </c>
      <c r="C43" t="str" cm="1">
        <f t="array" aca="1" ref="C43" ca="1">INDEX({"North","South","East","West"}, RANDBETWEEN(1,4))</f>
        <v>West</v>
      </c>
      <c r="D43" t="str" cm="1">
        <f t="array" aca="1" ref="D43" ca="1">INDEX({"Alan","Bob","Charlie","David"},RANDBETWEEN(1,4))</f>
        <v>David</v>
      </c>
      <c r="E43" t="str" cm="1">
        <f t="array" aca="1" ref="E43" ca="1">INDEX({"Laptop","Smartphone","Smartwatch","Tablet","PC","Headphones"}, RANDBETWEEN(1,6))</f>
        <v>Smartwatch</v>
      </c>
      <c r="F43" t="str" cm="1">
        <f t="array" aca="1" ref="F43" ca="1">_xlfn.SWITCH(E43,
 "Laptop","Computing",
 "Smartphone","Electronics",
 "Tablet","Electronics",
 "Smartwatch","Wearables",
 "PC","Computing",
 "Headphones","Accessories",
 "Unknown")</f>
        <v>Wearables</v>
      </c>
      <c r="G43">
        <f t="shared" ca="1" si="0"/>
        <v>10</v>
      </c>
      <c r="H43">
        <f t="shared" ca="1" si="1"/>
        <v>311</v>
      </c>
      <c r="I43">
        <f t="shared" ca="1" si="2"/>
        <v>3110</v>
      </c>
      <c r="J43" s="5">
        <f t="shared" ca="1" si="3"/>
        <v>2177</v>
      </c>
      <c r="K43" s="5">
        <f t="shared" ca="1" si="4"/>
        <v>933</v>
      </c>
      <c r="L43" s="5">
        <f t="shared" ca="1" si="5"/>
        <v>3022</v>
      </c>
      <c r="M43" t="str">
        <f t="shared" si="6"/>
        <v>May</v>
      </c>
      <c r="N43" t="str">
        <f t="shared" si="7"/>
        <v>2025</v>
      </c>
      <c r="O43" s="3">
        <f t="shared" ca="1" si="8"/>
        <v>0.3</v>
      </c>
      <c r="P43" s="3">
        <f ca="1">Table1[[#This Row],[Sales]]/Table1[[#This Row],[Target]]</f>
        <v>1.0291197882197221</v>
      </c>
    </row>
    <row r="44" spans="1:16" x14ac:dyDescent="0.3">
      <c r="A44" t="s">
        <v>55</v>
      </c>
      <c r="B44" s="2">
        <v>45790</v>
      </c>
      <c r="C44" t="str" cm="1">
        <f t="array" aca="1" ref="C44" ca="1">INDEX({"North","South","East","West"}, RANDBETWEEN(1,4))</f>
        <v>East</v>
      </c>
      <c r="D44" t="str" cm="1">
        <f t="array" aca="1" ref="D44" ca="1">INDEX({"Alan","Bob","Charlie","David"},RANDBETWEEN(1,4))</f>
        <v>Alan</v>
      </c>
      <c r="E44" t="str" cm="1">
        <f t="array" aca="1" ref="E44" ca="1">INDEX({"Laptop","Smartphone","Smartwatch","Tablet","PC","Headphones"}, RANDBETWEEN(1,6))</f>
        <v>Smartphone</v>
      </c>
      <c r="F44" t="str" cm="1">
        <f t="array" aca="1" ref="F44" ca="1">_xlfn.SWITCH(E44,
 "Laptop","Computing",
 "Smartphone","Electronics",
 "Tablet","Electronics",
 "Smartwatch","Wearables",
 "PC","Computing",
 "Headphones","Accessories",
 "Unknown")</f>
        <v>Electronics</v>
      </c>
      <c r="G44">
        <f t="shared" ca="1" si="0"/>
        <v>4</v>
      </c>
      <c r="H44">
        <f t="shared" ca="1" si="1"/>
        <v>455</v>
      </c>
      <c r="I44">
        <f t="shared" ca="1" si="2"/>
        <v>1820</v>
      </c>
      <c r="J44" s="5">
        <f t="shared" ca="1" si="3"/>
        <v>1274</v>
      </c>
      <c r="K44" s="5">
        <f t="shared" ca="1" si="4"/>
        <v>546</v>
      </c>
      <c r="L44" s="5">
        <f t="shared" ca="1" si="5"/>
        <v>4017</v>
      </c>
      <c r="M44" t="str">
        <f t="shared" si="6"/>
        <v>May</v>
      </c>
      <c r="N44" t="str">
        <f t="shared" si="7"/>
        <v>2025</v>
      </c>
      <c r="O44" s="3">
        <f t="shared" ca="1" si="8"/>
        <v>0.3</v>
      </c>
      <c r="P44" s="3">
        <f ca="1">Table1[[#This Row],[Sales]]/Table1[[#This Row],[Target]]</f>
        <v>0.45307443365695793</v>
      </c>
    </row>
    <row r="45" spans="1:16" x14ac:dyDescent="0.3">
      <c r="A45" t="s">
        <v>56</v>
      </c>
      <c r="B45" s="2">
        <v>45791</v>
      </c>
      <c r="C45" t="str" cm="1">
        <f t="array" aca="1" ref="C45" ca="1">INDEX({"North","South","East","West"}, RANDBETWEEN(1,4))</f>
        <v>East</v>
      </c>
      <c r="D45" t="str" cm="1">
        <f t="array" aca="1" ref="D45" ca="1">INDEX({"Alan","Bob","Charlie","David"},RANDBETWEEN(1,4))</f>
        <v>Charlie</v>
      </c>
      <c r="E45" t="str" cm="1">
        <f t="array" aca="1" ref="E45" ca="1">INDEX({"Laptop","Smartphone","Smartwatch","Tablet","PC","Headphones"}, RANDBETWEEN(1,6))</f>
        <v>Headphones</v>
      </c>
      <c r="F45" t="str" cm="1">
        <f t="array" aca="1" ref="F45" ca="1">_xlfn.SWITCH(E45,
 "Laptop","Computing",
 "Smartphone","Electronics",
 "Tablet","Electronics",
 "Smartwatch","Wearables",
 "PC","Computing",
 "Headphones","Accessories",
 "Unknown")</f>
        <v>Accessories</v>
      </c>
      <c r="G45">
        <f t="shared" ca="1" si="0"/>
        <v>7</v>
      </c>
      <c r="H45">
        <f t="shared" ca="1" si="1"/>
        <v>673</v>
      </c>
      <c r="I45">
        <f t="shared" ca="1" si="2"/>
        <v>4711</v>
      </c>
      <c r="J45" s="5">
        <f t="shared" ca="1" si="3"/>
        <v>3297.7</v>
      </c>
      <c r="K45" s="5">
        <f t="shared" ca="1" si="4"/>
        <v>1413.3000000000002</v>
      </c>
      <c r="L45" s="5">
        <f t="shared" ca="1" si="5"/>
        <v>2789</v>
      </c>
      <c r="M45" t="str">
        <f t="shared" si="6"/>
        <v>May</v>
      </c>
      <c r="N45" t="str">
        <f t="shared" si="7"/>
        <v>2025</v>
      </c>
      <c r="O45" s="3">
        <f t="shared" ca="1" si="8"/>
        <v>0.30000000000000004</v>
      </c>
      <c r="P45" s="3">
        <f ca="1">Table1[[#This Row],[Sales]]/Table1[[#This Row],[Target]]</f>
        <v>1.6891358910003587</v>
      </c>
    </row>
    <row r="46" spans="1:16" x14ac:dyDescent="0.3">
      <c r="A46" t="s">
        <v>57</v>
      </c>
      <c r="B46" s="2">
        <v>45792</v>
      </c>
      <c r="C46" t="str" cm="1">
        <f t="array" aca="1" ref="C46" ca="1">INDEX({"North","South","East","West"}, RANDBETWEEN(1,4))</f>
        <v>South</v>
      </c>
      <c r="D46" t="str" cm="1">
        <f t="array" aca="1" ref="D46" ca="1">INDEX({"Alan","Bob","Charlie","David"},RANDBETWEEN(1,4))</f>
        <v>Bob</v>
      </c>
      <c r="E46" t="str" cm="1">
        <f t="array" aca="1" ref="E46" ca="1">INDEX({"Laptop","Smartphone","Smartwatch","Tablet","PC","Headphones"}, RANDBETWEEN(1,6))</f>
        <v>Smartwatch</v>
      </c>
      <c r="F46" t="str" cm="1">
        <f t="array" aca="1" ref="F46" ca="1">_xlfn.SWITCH(E46,
 "Laptop","Computing",
 "Smartphone","Electronics",
 "Tablet","Electronics",
 "Smartwatch","Wearables",
 "PC","Computing",
 "Headphones","Accessories",
 "Unknown")</f>
        <v>Wearables</v>
      </c>
      <c r="G46">
        <f t="shared" ca="1" si="0"/>
        <v>10</v>
      </c>
      <c r="H46">
        <f t="shared" ca="1" si="1"/>
        <v>291</v>
      </c>
      <c r="I46">
        <f t="shared" ca="1" si="2"/>
        <v>2910</v>
      </c>
      <c r="J46" s="5">
        <f t="shared" ca="1" si="3"/>
        <v>2036.9999999999998</v>
      </c>
      <c r="K46" s="5">
        <f t="shared" ca="1" si="4"/>
        <v>873.00000000000023</v>
      </c>
      <c r="L46" s="5">
        <f t="shared" ca="1" si="5"/>
        <v>3679</v>
      </c>
      <c r="M46" t="str">
        <f t="shared" si="6"/>
        <v>May</v>
      </c>
      <c r="N46" t="str">
        <f t="shared" si="7"/>
        <v>2025</v>
      </c>
      <c r="O46" s="3">
        <f t="shared" ca="1" si="8"/>
        <v>0.3000000000000001</v>
      </c>
      <c r="P46" s="3">
        <f ca="1">Table1[[#This Row],[Sales]]/Table1[[#This Row],[Target]]</f>
        <v>0.79097580864365313</v>
      </c>
    </row>
    <row r="47" spans="1:16" x14ac:dyDescent="0.3">
      <c r="A47" t="s">
        <v>58</v>
      </c>
      <c r="B47" s="2">
        <v>45793</v>
      </c>
      <c r="C47" t="str" cm="1">
        <f t="array" aca="1" ref="C47" ca="1">INDEX({"North","South","East","West"}, RANDBETWEEN(1,4))</f>
        <v>North</v>
      </c>
      <c r="D47" t="str" cm="1">
        <f t="array" aca="1" ref="D47" ca="1">INDEX({"Alan","Bob","Charlie","David"},RANDBETWEEN(1,4))</f>
        <v>Bob</v>
      </c>
      <c r="E47" t="str" cm="1">
        <f t="array" aca="1" ref="E47" ca="1">INDEX({"Laptop","Smartphone","Smartwatch","Tablet","PC","Headphones"}, RANDBETWEEN(1,6))</f>
        <v>Smartphone</v>
      </c>
      <c r="F47" t="str" cm="1">
        <f t="array" aca="1" ref="F47" ca="1">_xlfn.SWITCH(E47,
 "Laptop","Computing",
 "Smartphone","Electronics",
 "Tablet","Electronics",
 "Smartwatch","Wearables",
 "PC","Computing",
 "Headphones","Accessories",
 "Unknown")</f>
        <v>Electronics</v>
      </c>
      <c r="G47">
        <f t="shared" ca="1" si="0"/>
        <v>2</v>
      </c>
      <c r="H47">
        <f t="shared" ca="1" si="1"/>
        <v>345</v>
      </c>
      <c r="I47">
        <f t="shared" ca="1" si="2"/>
        <v>690</v>
      </c>
      <c r="J47" s="5">
        <f t="shared" ca="1" si="3"/>
        <v>482.99999999999994</v>
      </c>
      <c r="K47" s="5">
        <f t="shared" ca="1" si="4"/>
        <v>207.00000000000006</v>
      </c>
      <c r="L47" s="5">
        <f t="shared" ca="1" si="5"/>
        <v>4239</v>
      </c>
      <c r="M47" t="str">
        <f t="shared" si="6"/>
        <v>May</v>
      </c>
      <c r="N47" t="str">
        <f t="shared" si="7"/>
        <v>2025</v>
      </c>
      <c r="O47" s="3">
        <f t="shared" ca="1" si="8"/>
        <v>0.3000000000000001</v>
      </c>
      <c r="P47" s="3">
        <f ca="1">Table1[[#This Row],[Sales]]/Table1[[#This Row],[Target]]</f>
        <v>0.16277423920736023</v>
      </c>
    </row>
    <row r="48" spans="1:16" x14ac:dyDescent="0.3">
      <c r="A48" t="s">
        <v>59</v>
      </c>
      <c r="B48" s="2">
        <v>45794</v>
      </c>
      <c r="C48" t="str" cm="1">
        <f t="array" aca="1" ref="C48" ca="1">INDEX({"North","South","East","West"}, RANDBETWEEN(1,4))</f>
        <v>West</v>
      </c>
      <c r="D48" t="str" cm="1">
        <f t="array" aca="1" ref="D48" ca="1">INDEX({"Alan","Bob","Charlie","David"},RANDBETWEEN(1,4))</f>
        <v>David</v>
      </c>
      <c r="E48" t="str" cm="1">
        <f t="array" aca="1" ref="E48" ca="1">INDEX({"Laptop","Smartphone","Smartwatch","Tablet","PC","Headphones"}, RANDBETWEEN(1,6))</f>
        <v>Smartphone</v>
      </c>
      <c r="F48" t="str" cm="1">
        <f t="array" aca="1" ref="F48" ca="1">_xlfn.SWITCH(E48,
 "Laptop","Computing",
 "Smartphone","Electronics",
 "Tablet","Electronics",
 "Smartwatch","Wearables",
 "PC","Computing",
 "Headphones","Accessories",
 "Unknown")</f>
        <v>Electronics</v>
      </c>
      <c r="G48">
        <f t="shared" ca="1" si="0"/>
        <v>10</v>
      </c>
      <c r="H48">
        <f t="shared" ca="1" si="1"/>
        <v>607</v>
      </c>
      <c r="I48">
        <f t="shared" ca="1" si="2"/>
        <v>6070</v>
      </c>
      <c r="J48" s="5">
        <f t="shared" ca="1" si="3"/>
        <v>4249</v>
      </c>
      <c r="K48" s="5">
        <f t="shared" ca="1" si="4"/>
        <v>1821</v>
      </c>
      <c r="L48" s="5">
        <f t="shared" ca="1" si="5"/>
        <v>3240</v>
      </c>
      <c r="M48" t="str">
        <f t="shared" si="6"/>
        <v>May</v>
      </c>
      <c r="N48" t="str">
        <f t="shared" si="7"/>
        <v>2025</v>
      </c>
      <c r="O48" s="3">
        <f t="shared" ca="1" si="8"/>
        <v>0.3</v>
      </c>
      <c r="P48" s="3">
        <f ca="1">Table1[[#This Row],[Sales]]/Table1[[#This Row],[Target]]</f>
        <v>1.8734567901234569</v>
      </c>
    </row>
    <row r="49" spans="1:16" x14ac:dyDescent="0.3">
      <c r="A49" t="s">
        <v>60</v>
      </c>
      <c r="B49" s="2">
        <v>45795</v>
      </c>
      <c r="C49" t="str" cm="1">
        <f t="array" aca="1" ref="C49" ca="1">INDEX({"North","South","East","West"}, RANDBETWEEN(1,4))</f>
        <v>East</v>
      </c>
      <c r="D49" t="str" cm="1">
        <f t="array" aca="1" ref="D49" ca="1">INDEX({"Alan","Bob","Charlie","David"},RANDBETWEEN(1,4))</f>
        <v>Alan</v>
      </c>
      <c r="E49" t="str" cm="1">
        <f t="array" aca="1" ref="E49" ca="1">INDEX({"Laptop","Smartphone","Smartwatch","Tablet","PC","Headphones"}, RANDBETWEEN(1,6))</f>
        <v>Headphones</v>
      </c>
      <c r="F49" t="str" cm="1">
        <f t="array" aca="1" ref="F49" ca="1">_xlfn.SWITCH(E49,
 "Laptop","Computing",
 "Smartphone","Electronics",
 "Tablet","Electronics",
 "Smartwatch","Wearables",
 "PC","Computing",
 "Headphones","Accessories",
 "Unknown")</f>
        <v>Accessories</v>
      </c>
      <c r="G49">
        <f t="shared" ca="1" si="0"/>
        <v>8</v>
      </c>
      <c r="H49">
        <f t="shared" ca="1" si="1"/>
        <v>395</v>
      </c>
      <c r="I49">
        <f t="shared" ca="1" si="2"/>
        <v>3160</v>
      </c>
      <c r="J49" s="5">
        <f t="shared" ca="1" si="3"/>
        <v>2212</v>
      </c>
      <c r="K49" s="5">
        <f t="shared" ca="1" si="4"/>
        <v>948</v>
      </c>
      <c r="L49" s="5">
        <f t="shared" ca="1" si="5"/>
        <v>3219</v>
      </c>
      <c r="M49" t="str">
        <f t="shared" si="6"/>
        <v>May</v>
      </c>
      <c r="N49" t="str">
        <f t="shared" si="7"/>
        <v>2025</v>
      </c>
      <c r="O49" s="3">
        <f t="shared" ca="1" si="8"/>
        <v>0.3</v>
      </c>
      <c r="P49" s="3">
        <f ca="1">Table1[[#This Row],[Sales]]/Table1[[#This Row],[Target]]</f>
        <v>0.98167132649891276</v>
      </c>
    </row>
    <row r="50" spans="1:16" x14ac:dyDescent="0.3">
      <c r="A50" t="s">
        <v>61</v>
      </c>
      <c r="B50" s="2">
        <v>45796</v>
      </c>
      <c r="C50" t="str" cm="1">
        <f t="array" aca="1" ref="C50" ca="1">INDEX({"North","South","East","West"}, RANDBETWEEN(1,4))</f>
        <v>East</v>
      </c>
      <c r="D50" t="str" cm="1">
        <f t="array" aca="1" ref="D50" ca="1">INDEX({"Alan","Bob","Charlie","David"},RANDBETWEEN(1,4))</f>
        <v>Charlie</v>
      </c>
      <c r="E50" t="str" cm="1">
        <f t="array" aca="1" ref="E50" ca="1">INDEX({"Laptop","Smartphone","Smartwatch","Tablet","PC","Headphones"}, RANDBETWEEN(1,6))</f>
        <v>Smartphone</v>
      </c>
      <c r="F50" t="str" cm="1">
        <f t="array" aca="1" ref="F50" ca="1">_xlfn.SWITCH(E50,
 "Laptop","Computing",
 "Smartphone","Electronics",
 "Tablet","Electronics",
 "Smartwatch","Wearables",
 "PC","Computing",
 "Headphones","Accessories",
 "Unknown")</f>
        <v>Electronics</v>
      </c>
      <c r="G50">
        <f t="shared" ca="1" si="0"/>
        <v>3</v>
      </c>
      <c r="H50">
        <f t="shared" ca="1" si="1"/>
        <v>702</v>
      </c>
      <c r="I50">
        <f t="shared" ca="1" si="2"/>
        <v>2106</v>
      </c>
      <c r="J50" s="5">
        <f t="shared" ca="1" si="3"/>
        <v>1474.1999999999998</v>
      </c>
      <c r="K50" s="5">
        <f t="shared" ca="1" si="4"/>
        <v>631.80000000000018</v>
      </c>
      <c r="L50" s="5">
        <f t="shared" ca="1" si="5"/>
        <v>4784</v>
      </c>
      <c r="M50" t="str">
        <f t="shared" si="6"/>
        <v>May</v>
      </c>
      <c r="N50" t="str">
        <f t="shared" si="7"/>
        <v>2025</v>
      </c>
      <c r="O50" s="3">
        <f t="shared" ca="1" si="8"/>
        <v>0.3000000000000001</v>
      </c>
      <c r="P50" s="3">
        <f ca="1">Table1[[#This Row],[Sales]]/Table1[[#This Row],[Target]]</f>
        <v>0.44021739130434784</v>
      </c>
    </row>
    <row r="51" spans="1:16" x14ac:dyDescent="0.3">
      <c r="A51" t="s">
        <v>62</v>
      </c>
      <c r="B51" s="2">
        <v>45797</v>
      </c>
      <c r="C51" t="str" cm="1">
        <f t="array" aca="1" ref="C51" ca="1">INDEX({"North","South","East","West"}, RANDBETWEEN(1,4))</f>
        <v>West</v>
      </c>
      <c r="D51" t="str" cm="1">
        <f t="array" aca="1" ref="D51" ca="1">INDEX({"Alan","Bob","Charlie","David"},RANDBETWEEN(1,4))</f>
        <v>Charlie</v>
      </c>
      <c r="E51" t="str" cm="1">
        <f t="array" aca="1" ref="E51" ca="1">INDEX({"Laptop","Smartphone","Smartwatch","Tablet","PC","Headphones"}, RANDBETWEEN(1,6))</f>
        <v>Laptop</v>
      </c>
      <c r="F51" t="str" cm="1">
        <f t="array" aca="1" ref="F51" ca="1">_xlfn.SWITCH(E51,
 "Laptop","Computing",
 "Smartphone","Electronics",
 "Tablet","Electronics",
 "Smartwatch","Wearables",
 "PC","Computing",
 "Headphones","Accessories",
 "Unknown")</f>
        <v>Computing</v>
      </c>
      <c r="G51">
        <f t="shared" ca="1" si="0"/>
        <v>10</v>
      </c>
      <c r="H51">
        <f t="shared" ca="1" si="1"/>
        <v>254</v>
      </c>
      <c r="I51">
        <f t="shared" ca="1" si="2"/>
        <v>2540</v>
      </c>
      <c r="J51" s="5">
        <f t="shared" ca="1" si="3"/>
        <v>1778</v>
      </c>
      <c r="K51" s="5">
        <f t="shared" ca="1" si="4"/>
        <v>762</v>
      </c>
      <c r="L51" s="5">
        <f t="shared" ca="1" si="5"/>
        <v>2791</v>
      </c>
      <c r="M51" t="str">
        <f t="shared" si="6"/>
        <v>May</v>
      </c>
      <c r="N51" t="str">
        <f t="shared" si="7"/>
        <v>2025</v>
      </c>
      <c r="O51" s="3">
        <f t="shared" ca="1" si="8"/>
        <v>0.3</v>
      </c>
      <c r="P51" s="3">
        <f ca="1">Table1[[#This Row],[Sales]]/Table1[[#This Row],[Target]]</f>
        <v>0.91006807595843786</v>
      </c>
    </row>
    <row r="52" spans="1:16" x14ac:dyDescent="0.3">
      <c r="A52" t="s">
        <v>63</v>
      </c>
      <c r="B52" s="2">
        <v>45798</v>
      </c>
      <c r="C52" t="str" cm="1">
        <f t="array" aca="1" ref="C52" ca="1">INDEX({"North","South","East","West"}, RANDBETWEEN(1,4))</f>
        <v>East</v>
      </c>
      <c r="D52" t="str" cm="1">
        <f t="array" aca="1" ref="D52" ca="1">INDEX({"Alan","Bob","Charlie","David"},RANDBETWEEN(1,4))</f>
        <v>Alan</v>
      </c>
      <c r="E52" t="str" cm="1">
        <f t="array" aca="1" ref="E52" ca="1">INDEX({"Laptop","Smartphone","Smartwatch","Tablet","PC","Headphones"}, RANDBETWEEN(1,6))</f>
        <v>PC</v>
      </c>
      <c r="F52" t="str" cm="1">
        <f t="array" aca="1" ref="F52" ca="1">_xlfn.SWITCH(E52,
 "Laptop","Computing",
 "Smartphone","Electronics",
 "Tablet","Electronics",
 "Smartwatch","Wearables",
 "PC","Computing",
 "Headphones","Accessories",
 "Unknown")</f>
        <v>Computing</v>
      </c>
      <c r="G52">
        <f t="shared" ca="1" si="0"/>
        <v>8</v>
      </c>
      <c r="H52">
        <f t="shared" ca="1" si="1"/>
        <v>244</v>
      </c>
      <c r="I52">
        <f t="shared" ca="1" si="2"/>
        <v>1952</v>
      </c>
      <c r="J52" s="5">
        <f t="shared" ca="1" si="3"/>
        <v>1366.3999999999999</v>
      </c>
      <c r="K52" s="5">
        <f t="shared" ca="1" si="4"/>
        <v>585.60000000000014</v>
      </c>
      <c r="L52" s="5">
        <f t="shared" ca="1" si="5"/>
        <v>2597</v>
      </c>
      <c r="M52" t="str">
        <f t="shared" si="6"/>
        <v>May</v>
      </c>
      <c r="N52" t="str">
        <f t="shared" si="7"/>
        <v>2025</v>
      </c>
      <c r="O52" s="3">
        <f t="shared" ca="1" si="8"/>
        <v>0.30000000000000004</v>
      </c>
      <c r="P52" s="3">
        <f ca="1">Table1[[#This Row],[Sales]]/Table1[[#This Row],[Target]]</f>
        <v>0.751636503658067</v>
      </c>
    </row>
    <row r="53" spans="1:16" x14ac:dyDescent="0.3">
      <c r="A53" t="s">
        <v>64</v>
      </c>
      <c r="B53" s="2">
        <v>45799</v>
      </c>
      <c r="C53" t="str" cm="1">
        <f t="array" aca="1" ref="C53" ca="1">INDEX({"North","South","East","West"}, RANDBETWEEN(1,4))</f>
        <v>East</v>
      </c>
      <c r="D53" t="str" cm="1">
        <f t="array" aca="1" ref="D53" ca="1">INDEX({"Alan","Bob","Charlie","David"},RANDBETWEEN(1,4))</f>
        <v>Alan</v>
      </c>
      <c r="E53" t="str" cm="1">
        <f t="array" aca="1" ref="E53" ca="1">INDEX({"Laptop","Smartphone","Smartwatch","Tablet","PC","Headphones"}, RANDBETWEEN(1,6))</f>
        <v>Headphones</v>
      </c>
      <c r="F53" t="str" cm="1">
        <f t="array" aca="1" ref="F53" ca="1">_xlfn.SWITCH(E53,
 "Laptop","Computing",
 "Smartphone","Electronics",
 "Tablet","Electronics",
 "Smartwatch","Wearables",
 "PC","Computing",
 "Headphones","Accessories",
 "Unknown")</f>
        <v>Accessories</v>
      </c>
      <c r="G53">
        <f t="shared" ca="1" si="0"/>
        <v>9</v>
      </c>
      <c r="H53">
        <f t="shared" ca="1" si="1"/>
        <v>351</v>
      </c>
      <c r="I53">
        <f t="shared" ca="1" si="2"/>
        <v>3159</v>
      </c>
      <c r="J53" s="5">
        <f t="shared" ca="1" si="3"/>
        <v>2211.2999999999997</v>
      </c>
      <c r="K53" s="5">
        <f t="shared" ca="1" si="4"/>
        <v>947.70000000000027</v>
      </c>
      <c r="L53" s="5">
        <f t="shared" ca="1" si="5"/>
        <v>4499</v>
      </c>
      <c r="M53" t="str">
        <f t="shared" si="6"/>
        <v>May</v>
      </c>
      <c r="N53" t="str">
        <f t="shared" si="7"/>
        <v>2025</v>
      </c>
      <c r="O53" s="3">
        <f t="shared" ca="1" si="8"/>
        <v>0.3000000000000001</v>
      </c>
      <c r="P53" s="3">
        <f ca="1">Table1[[#This Row],[Sales]]/Table1[[#This Row],[Target]]</f>
        <v>0.70215603467437204</v>
      </c>
    </row>
    <row r="54" spans="1:16" x14ac:dyDescent="0.3">
      <c r="A54" t="s">
        <v>65</v>
      </c>
      <c r="B54" s="2">
        <v>45800</v>
      </c>
      <c r="C54" t="str" cm="1">
        <f t="array" aca="1" ref="C54" ca="1">INDEX({"North","South","East","West"}, RANDBETWEEN(1,4))</f>
        <v>East</v>
      </c>
      <c r="D54" t="str" cm="1">
        <f t="array" aca="1" ref="D54" ca="1">INDEX({"Alan","Bob","Charlie","David"},RANDBETWEEN(1,4))</f>
        <v>Bob</v>
      </c>
      <c r="E54" t="str" cm="1">
        <f t="array" aca="1" ref="E54" ca="1">INDEX({"Laptop","Smartphone","Smartwatch","Tablet","PC","Headphones"}, RANDBETWEEN(1,6))</f>
        <v>Smartphone</v>
      </c>
      <c r="F54" t="str" cm="1">
        <f t="array" aca="1" ref="F54" ca="1">_xlfn.SWITCH(E54,
 "Laptop","Computing",
 "Smartphone","Electronics",
 "Tablet","Electronics",
 "Smartwatch","Wearables",
 "PC","Computing",
 "Headphones","Accessories",
 "Unknown")</f>
        <v>Electronics</v>
      </c>
      <c r="G54">
        <f t="shared" ca="1" si="0"/>
        <v>10</v>
      </c>
      <c r="H54">
        <f t="shared" ca="1" si="1"/>
        <v>642</v>
      </c>
      <c r="I54">
        <f t="shared" ca="1" si="2"/>
        <v>6420</v>
      </c>
      <c r="J54" s="5">
        <f t="shared" ca="1" si="3"/>
        <v>4494</v>
      </c>
      <c r="K54" s="5">
        <f t="shared" ca="1" si="4"/>
        <v>1926</v>
      </c>
      <c r="L54" s="5">
        <f t="shared" ca="1" si="5"/>
        <v>3997</v>
      </c>
      <c r="M54" t="str">
        <f t="shared" si="6"/>
        <v>May</v>
      </c>
      <c r="N54" t="str">
        <f t="shared" si="7"/>
        <v>2025</v>
      </c>
      <c r="O54" s="3">
        <f t="shared" ca="1" si="8"/>
        <v>0.3</v>
      </c>
      <c r="P54" s="3">
        <f ca="1">Table1[[#This Row],[Sales]]/Table1[[#This Row],[Target]]</f>
        <v>1.6062046534901175</v>
      </c>
    </row>
    <row r="55" spans="1:16" x14ac:dyDescent="0.3">
      <c r="A55" t="s">
        <v>66</v>
      </c>
      <c r="B55" s="2">
        <v>45801</v>
      </c>
      <c r="C55" t="str" cm="1">
        <f t="array" aca="1" ref="C55" ca="1">INDEX({"North","South","East","West"}, RANDBETWEEN(1,4))</f>
        <v>East</v>
      </c>
      <c r="D55" t="str" cm="1">
        <f t="array" aca="1" ref="D55" ca="1">INDEX({"Alan","Bob","Charlie","David"},RANDBETWEEN(1,4))</f>
        <v>Charlie</v>
      </c>
      <c r="E55" t="str" cm="1">
        <f t="array" aca="1" ref="E55" ca="1">INDEX({"Laptop","Smartphone","Smartwatch","Tablet","PC","Headphones"}, RANDBETWEEN(1,6))</f>
        <v>Laptop</v>
      </c>
      <c r="F55" t="str" cm="1">
        <f t="array" aca="1" ref="F55" ca="1">_xlfn.SWITCH(E55,
 "Laptop","Computing",
 "Smartphone","Electronics",
 "Tablet","Electronics",
 "Smartwatch","Wearables",
 "PC","Computing",
 "Headphones","Accessories",
 "Unknown")</f>
        <v>Computing</v>
      </c>
      <c r="G55">
        <f t="shared" ca="1" si="0"/>
        <v>7</v>
      </c>
      <c r="H55">
        <f t="shared" ca="1" si="1"/>
        <v>240</v>
      </c>
      <c r="I55">
        <f t="shared" ca="1" si="2"/>
        <v>1680</v>
      </c>
      <c r="J55" s="5">
        <f t="shared" ca="1" si="3"/>
        <v>1176</v>
      </c>
      <c r="K55" s="5">
        <f t="shared" ca="1" si="4"/>
        <v>504</v>
      </c>
      <c r="L55" s="5">
        <f t="shared" ca="1" si="5"/>
        <v>4012</v>
      </c>
      <c r="M55" t="str">
        <f t="shared" si="6"/>
        <v>May</v>
      </c>
      <c r="N55" t="str">
        <f t="shared" si="7"/>
        <v>2025</v>
      </c>
      <c r="O55" s="3">
        <f t="shared" ca="1" si="8"/>
        <v>0.3</v>
      </c>
      <c r="P55" s="3">
        <f ca="1">Table1[[#This Row],[Sales]]/Table1[[#This Row],[Target]]</f>
        <v>0.41874376869391827</v>
      </c>
    </row>
    <row r="56" spans="1:16" x14ac:dyDescent="0.3">
      <c r="A56" t="s">
        <v>67</v>
      </c>
      <c r="B56" s="2">
        <v>45802</v>
      </c>
      <c r="C56" t="str" cm="1">
        <f t="array" aca="1" ref="C56" ca="1">INDEX({"North","South","East","West"}, RANDBETWEEN(1,4))</f>
        <v>North</v>
      </c>
      <c r="D56" t="str" cm="1">
        <f t="array" aca="1" ref="D56" ca="1">INDEX({"Alan","Bob","Charlie","David"},RANDBETWEEN(1,4))</f>
        <v>Alan</v>
      </c>
      <c r="E56" t="str" cm="1">
        <f t="array" aca="1" ref="E56" ca="1">INDEX({"Laptop","Smartphone","Smartwatch","Tablet","PC","Headphones"}, RANDBETWEEN(1,6))</f>
        <v>Headphones</v>
      </c>
      <c r="F56" t="str" cm="1">
        <f t="array" aca="1" ref="F56" ca="1">_xlfn.SWITCH(E56,
 "Laptop","Computing",
 "Smartphone","Electronics",
 "Tablet","Electronics",
 "Smartwatch","Wearables",
 "PC","Computing",
 "Headphones","Accessories",
 "Unknown")</f>
        <v>Accessories</v>
      </c>
      <c r="G56">
        <f t="shared" ca="1" si="0"/>
        <v>6</v>
      </c>
      <c r="H56">
        <f t="shared" ca="1" si="1"/>
        <v>648</v>
      </c>
      <c r="I56">
        <f t="shared" ca="1" si="2"/>
        <v>3888</v>
      </c>
      <c r="J56" s="5">
        <f t="shared" ca="1" si="3"/>
        <v>2721.6</v>
      </c>
      <c r="K56" s="5">
        <f t="shared" ca="1" si="4"/>
        <v>1166.4000000000001</v>
      </c>
      <c r="L56" s="5">
        <f t="shared" ca="1" si="5"/>
        <v>3764</v>
      </c>
      <c r="M56" t="str">
        <f t="shared" si="6"/>
        <v>May</v>
      </c>
      <c r="N56" t="str">
        <f t="shared" si="7"/>
        <v>2025</v>
      </c>
      <c r="O56" s="3">
        <f t="shared" ca="1" si="8"/>
        <v>0.30000000000000004</v>
      </c>
      <c r="P56" s="3">
        <f ca="1">Table1[[#This Row],[Sales]]/Table1[[#This Row],[Target]]</f>
        <v>1.0329436769394262</v>
      </c>
    </row>
    <row r="57" spans="1:16" x14ac:dyDescent="0.3">
      <c r="A57" t="s">
        <v>68</v>
      </c>
      <c r="B57" s="2">
        <v>45803</v>
      </c>
      <c r="C57" t="str" cm="1">
        <f t="array" aca="1" ref="C57" ca="1">INDEX({"North","South","East","West"}, RANDBETWEEN(1,4))</f>
        <v>North</v>
      </c>
      <c r="D57" t="str" cm="1">
        <f t="array" aca="1" ref="D57" ca="1">INDEX({"Alan","Bob","Charlie","David"},RANDBETWEEN(1,4))</f>
        <v>Alan</v>
      </c>
      <c r="E57" t="str" cm="1">
        <f t="array" aca="1" ref="E57" ca="1">INDEX({"Laptop","Smartphone","Smartwatch","Tablet","PC","Headphones"}, RANDBETWEEN(1,6))</f>
        <v>Smartwatch</v>
      </c>
      <c r="F57" t="str" cm="1">
        <f t="array" aca="1" ref="F57" ca="1">_xlfn.SWITCH(E57,
 "Laptop","Computing",
 "Smartphone","Electronics",
 "Tablet","Electronics",
 "Smartwatch","Wearables",
 "PC","Computing",
 "Headphones","Accessories",
 "Unknown")</f>
        <v>Wearables</v>
      </c>
      <c r="G57">
        <f t="shared" ca="1" si="0"/>
        <v>3</v>
      </c>
      <c r="H57">
        <f t="shared" ca="1" si="1"/>
        <v>911</v>
      </c>
      <c r="I57">
        <f t="shared" ca="1" si="2"/>
        <v>2733</v>
      </c>
      <c r="J57" s="5">
        <f t="shared" ca="1" si="3"/>
        <v>1913.1</v>
      </c>
      <c r="K57" s="5">
        <f t="shared" ca="1" si="4"/>
        <v>819.90000000000009</v>
      </c>
      <c r="L57" s="5">
        <f t="shared" ca="1" si="5"/>
        <v>4477</v>
      </c>
      <c r="M57" t="str">
        <f t="shared" si="6"/>
        <v>May</v>
      </c>
      <c r="N57" t="str">
        <f t="shared" si="7"/>
        <v>2025</v>
      </c>
      <c r="O57" s="3">
        <f t="shared" ca="1" si="8"/>
        <v>0.30000000000000004</v>
      </c>
      <c r="P57" s="3">
        <f ca="1">Table1[[#This Row],[Sales]]/Table1[[#This Row],[Target]]</f>
        <v>0.61045342863524676</v>
      </c>
    </row>
    <row r="58" spans="1:16" x14ac:dyDescent="0.3">
      <c r="A58" t="s">
        <v>69</v>
      </c>
      <c r="B58" s="2">
        <v>45804</v>
      </c>
      <c r="C58" t="str" cm="1">
        <f t="array" aca="1" ref="C58" ca="1">INDEX({"North","South","East","West"}, RANDBETWEEN(1,4))</f>
        <v>North</v>
      </c>
      <c r="D58" t="str" cm="1">
        <f t="array" aca="1" ref="D58" ca="1">INDEX({"Alan","Bob","Charlie","David"},RANDBETWEEN(1,4))</f>
        <v>Charlie</v>
      </c>
      <c r="E58" t="str" cm="1">
        <f t="array" aca="1" ref="E58" ca="1">INDEX({"Laptop","Smartphone","Smartwatch","Tablet","PC","Headphones"}, RANDBETWEEN(1,6))</f>
        <v>Headphones</v>
      </c>
      <c r="F58" t="str" cm="1">
        <f t="array" aca="1" ref="F58" ca="1">_xlfn.SWITCH(E58,
 "Laptop","Computing",
 "Smartphone","Electronics",
 "Tablet","Electronics",
 "Smartwatch","Wearables",
 "PC","Computing",
 "Headphones","Accessories",
 "Unknown")</f>
        <v>Accessories</v>
      </c>
      <c r="G58">
        <f t="shared" ca="1" si="0"/>
        <v>6</v>
      </c>
      <c r="H58">
        <f t="shared" ca="1" si="1"/>
        <v>931</v>
      </c>
      <c r="I58">
        <f t="shared" ca="1" si="2"/>
        <v>5586</v>
      </c>
      <c r="J58" s="5">
        <f t="shared" ca="1" si="3"/>
        <v>3910.2</v>
      </c>
      <c r="K58" s="5">
        <f t="shared" ca="1" si="4"/>
        <v>1675.8000000000002</v>
      </c>
      <c r="L58" s="5">
        <f t="shared" ca="1" si="5"/>
        <v>4060</v>
      </c>
      <c r="M58" t="str">
        <f t="shared" si="6"/>
        <v>May</v>
      </c>
      <c r="N58" t="str">
        <f t="shared" si="7"/>
        <v>2025</v>
      </c>
      <c r="O58" s="3">
        <f t="shared" ca="1" si="8"/>
        <v>0.30000000000000004</v>
      </c>
      <c r="P58" s="3">
        <f ca="1">Table1[[#This Row],[Sales]]/Table1[[#This Row],[Target]]</f>
        <v>1.3758620689655172</v>
      </c>
    </row>
    <row r="59" spans="1:16" x14ac:dyDescent="0.3">
      <c r="A59" t="s">
        <v>70</v>
      </c>
      <c r="B59" s="2">
        <v>45805</v>
      </c>
      <c r="C59" t="str" cm="1">
        <f t="array" aca="1" ref="C59" ca="1">INDEX({"North","South","East","West"}, RANDBETWEEN(1,4))</f>
        <v>North</v>
      </c>
      <c r="D59" t="str" cm="1">
        <f t="array" aca="1" ref="D59" ca="1">INDEX({"Alan","Bob","Charlie","David"},RANDBETWEEN(1,4))</f>
        <v>Bob</v>
      </c>
      <c r="E59" t="str" cm="1">
        <f t="array" aca="1" ref="E59" ca="1">INDEX({"Laptop","Smartphone","Smartwatch","Tablet","PC","Headphones"}, RANDBETWEEN(1,6))</f>
        <v>Smartwatch</v>
      </c>
      <c r="F59" t="str" cm="1">
        <f t="array" aca="1" ref="F59" ca="1">_xlfn.SWITCH(E59,
 "Laptop","Computing",
 "Smartphone","Electronics",
 "Tablet","Electronics",
 "Smartwatch","Wearables",
 "PC","Computing",
 "Headphones","Accessories",
 "Unknown")</f>
        <v>Wearables</v>
      </c>
      <c r="G59">
        <f t="shared" ca="1" si="0"/>
        <v>9</v>
      </c>
      <c r="H59">
        <f t="shared" ca="1" si="1"/>
        <v>854</v>
      </c>
      <c r="I59">
        <f t="shared" ca="1" si="2"/>
        <v>7686</v>
      </c>
      <c r="J59" s="5">
        <f t="shared" ca="1" si="3"/>
        <v>5380.2</v>
      </c>
      <c r="K59" s="5">
        <f t="shared" ca="1" si="4"/>
        <v>2305.8000000000002</v>
      </c>
      <c r="L59" s="5">
        <f t="shared" ca="1" si="5"/>
        <v>2539</v>
      </c>
      <c r="M59" t="str">
        <f t="shared" si="6"/>
        <v>May</v>
      </c>
      <c r="N59" t="str">
        <f t="shared" si="7"/>
        <v>2025</v>
      </c>
      <c r="O59" s="3">
        <f t="shared" ca="1" si="8"/>
        <v>0.30000000000000004</v>
      </c>
      <c r="P59" s="3">
        <f ca="1">Table1[[#This Row],[Sales]]/Table1[[#This Row],[Target]]</f>
        <v>3.0271760535643955</v>
      </c>
    </row>
    <row r="60" spans="1:16" x14ac:dyDescent="0.3">
      <c r="A60" t="s">
        <v>71</v>
      </c>
      <c r="B60" s="2">
        <v>45806</v>
      </c>
      <c r="C60" t="str" cm="1">
        <f t="array" aca="1" ref="C60" ca="1">INDEX({"North","South","East","West"}, RANDBETWEEN(1,4))</f>
        <v>North</v>
      </c>
      <c r="D60" t="str" cm="1">
        <f t="array" aca="1" ref="D60" ca="1">INDEX({"Alan","Bob","Charlie","David"},RANDBETWEEN(1,4))</f>
        <v>Alan</v>
      </c>
      <c r="E60" t="str" cm="1">
        <f t="array" aca="1" ref="E60" ca="1">INDEX({"Laptop","Smartphone","Smartwatch","Tablet","PC","Headphones"}, RANDBETWEEN(1,6))</f>
        <v>Tablet</v>
      </c>
      <c r="F60" t="str" cm="1">
        <f t="array" aca="1" ref="F60" ca="1">_xlfn.SWITCH(E60,
 "Laptop","Computing",
 "Smartphone","Electronics",
 "Tablet","Electronics",
 "Smartwatch","Wearables",
 "PC","Computing",
 "Headphones","Accessories",
 "Unknown")</f>
        <v>Electronics</v>
      </c>
      <c r="G60">
        <f t="shared" ca="1" si="0"/>
        <v>1</v>
      </c>
      <c r="H60">
        <f t="shared" ca="1" si="1"/>
        <v>332</v>
      </c>
      <c r="I60">
        <f t="shared" ca="1" si="2"/>
        <v>332</v>
      </c>
      <c r="J60" s="5">
        <f t="shared" ca="1" si="3"/>
        <v>232.39999999999998</v>
      </c>
      <c r="K60" s="5">
        <f t="shared" ca="1" si="4"/>
        <v>99.600000000000023</v>
      </c>
      <c r="L60" s="5">
        <f t="shared" ca="1" si="5"/>
        <v>2741</v>
      </c>
      <c r="M60" t="str">
        <f t="shared" si="6"/>
        <v>May</v>
      </c>
      <c r="N60" t="str">
        <f t="shared" si="7"/>
        <v>2025</v>
      </c>
      <c r="O60" s="3">
        <f t="shared" ca="1" si="8"/>
        <v>0.30000000000000004</v>
      </c>
      <c r="P60" s="3">
        <f ca="1">Table1[[#This Row],[Sales]]/Table1[[#This Row],[Target]]</f>
        <v>0.12112367748996716</v>
      </c>
    </row>
    <row r="61" spans="1:16" x14ac:dyDescent="0.3">
      <c r="A61" t="s">
        <v>72</v>
      </c>
      <c r="B61" s="2">
        <v>45807</v>
      </c>
      <c r="C61" t="str" cm="1">
        <f t="array" aca="1" ref="C61" ca="1">INDEX({"North","South","East","West"}, RANDBETWEEN(1,4))</f>
        <v>East</v>
      </c>
      <c r="D61" t="str" cm="1">
        <f t="array" aca="1" ref="D61" ca="1">INDEX({"Alan","Bob","Charlie","David"},RANDBETWEEN(1,4))</f>
        <v>Alan</v>
      </c>
      <c r="E61" t="str" cm="1">
        <f t="array" aca="1" ref="E61" ca="1">INDEX({"Laptop","Smartphone","Smartwatch","Tablet","PC","Headphones"}, RANDBETWEEN(1,6))</f>
        <v>PC</v>
      </c>
      <c r="F61" t="str" cm="1">
        <f t="array" aca="1" ref="F61" ca="1">_xlfn.SWITCH(E61,
 "Laptop","Computing",
 "Smartphone","Electronics",
 "Tablet","Electronics",
 "Smartwatch","Wearables",
 "PC","Computing",
 "Headphones","Accessories",
 "Unknown")</f>
        <v>Computing</v>
      </c>
      <c r="G61">
        <f t="shared" ca="1" si="0"/>
        <v>6</v>
      </c>
      <c r="H61">
        <f t="shared" ca="1" si="1"/>
        <v>671</v>
      </c>
      <c r="I61">
        <f t="shared" ca="1" si="2"/>
        <v>4026</v>
      </c>
      <c r="J61" s="5">
        <f t="shared" ca="1" si="3"/>
        <v>2818.2</v>
      </c>
      <c r="K61" s="5">
        <f t="shared" ca="1" si="4"/>
        <v>1207.8000000000002</v>
      </c>
      <c r="L61" s="5">
        <f t="shared" ca="1" si="5"/>
        <v>4375</v>
      </c>
      <c r="M61" t="str">
        <f t="shared" si="6"/>
        <v>May</v>
      </c>
      <c r="N61" t="str">
        <f t="shared" si="7"/>
        <v>2025</v>
      </c>
      <c r="O61" s="3">
        <f t="shared" ca="1" si="8"/>
        <v>0.30000000000000004</v>
      </c>
      <c r="P61" s="3">
        <f ca="1">Table1[[#This Row],[Sales]]/Table1[[#This Row],[Target]]</f>
        <v>0.9202285714285714</v>
      </c>
    </row>
    <row r="62" spans="1:16" x14ac:dyDescent="0.3">
      <c r="A62" t="s">
        <v>73</v>
      </c>
      <c r="B62" s="2">
        <v>45808</v>
      </c>
      <c r="C62" t="str" cm="1">
        <f t="array" aca="1" ref="C62" ca="1">INDEX({"North","South","East","West"}, RANDBETWEEN(1,4))</f>
        <v>East</v>
      </c>
      <c r="D62" t="str" cm="1">
        <f t="array" aca="1" ref="D62" ca="1">INDEX({"Alan","Bob","Charlie","David"},RANDBETWEEN(1,4))</f>
        <v>David</v>
      </c>
      <c r="E62" t="str" cm="1">
        <f t="array" aca="1" ref="E62" ca="1">INDEX({"Laptop","Smartphone","Smartwatch","Tablet","PC","Headphones"}, RANDBETWEEN(1,6))</f>
        <v>Smartwatch</v>
      </c>
      <c r="F62" t="str" cm="1">
        <f t="array" aca="1" ref="F62" ca="1">_xlfn.SWITCH(E62,
 "Laptop","Computing",
 "Smartphone","Electronics",
 "Tablet","Electronics",
 "Smartwatch","Wearables",
 "PC","Computing",
 "Headphones","Accessories",
 "Unknown")</f>
        <v>Wearables</v>
      </c>
      <c r="G62">
        <f t="shared" ca="1" si="0"/>
        <v>1</v>
      </c>
      <c r="H62">
        <f t="shared" ca="1" si="1"/>
        <v>335</v>
      </c>
      <c r="I62">
        <f t="shared" ca="1" si="2"/>
        <v>335</v>
      </c>
      <c r="J62" s="5">
        <f t="shared" ca="1" si="3"/>
        <v>234.49999999999997</v>
      </c>
      <c r="K62" s="5">
        <f t="shared" ca="1" si="4"/>
        <v>100.50000000000003</v>
      </c>
      <c r="L62" s="5">
        <f t="shared" ca="1" si="5"/>
        <v>2812</v>
      </c>
      <c r="M62" t="str">
        <f t="shared" si="6"/>
        <v>May</v>
      </c>
      <c r="N62" t="str">
        <f t="shared" si="7"/>
        <v>2025</v>
      </c>
      <c r="O62" s="3">
        <f t="shared" ca="1" si="8"/>
        <v>0.3000000000000001</v>
      </c>
      <c r="P62" s="3">
        <f ca="1">Table1[[#This Row],[Sales]]/Table1[[#This Row],[Target]]</f>
        <v>0.11913229018492176</v>
      </c>
    </row>
    <row r="63" spans="1:16" x14ac:dyDescent="0.3">
      <c r="A63" t="s">
        <v>74</v>
      </c>
      <c r="B63" s="2">
        <v>45809</v>
      </c>
      <c r="C63" t="str" cm="1">
        <f t="array" aca="1" ref="C63" ca="1">INDEX({"North","South","East","West"}, RANDBETWEEN(1,4))</f>
        <v>North</v>
      </c>
      <c r="D63" t="str" cm="1">
        <f t="array" aca="1" ref="D63" ca="1">INDEX({"Alan","Bob","Charlie","David"},RANDBETWEEN(1,4))</f>
        <v>David</v>
      </c>
      <c r="E63" t="str" cm="1">
        <f t="array" aca="1" ref="E63" ca="1">INDEX({"Laptop","Smartphone","Smartwatch","Tablet","PC","Headphones"}, RANDBETWEEN(1,6))</f>
        <v>Laptop</v>
      </c>
      <c r="F63" t="str" cm="1">
        <f t="array" aca="1" ref="F63" ca="1">_xlfn.SWITCH(E63,
 "Laptop","Computing",
 "Smartphone","Electronics",
 "Tablet","Electronics",
 "Smartwatch","Wearables",
 "PC","Computing",
 "Headphones","Accessories",
 "Unknown")</f>
        <v>Computing</v>
      </c>
      <c r="G63">
        <f t="shared" ca="1" si="0"/>
        <v>5</v>
      </c>
      <c r="H63">
        <f t="shared" ca="1" si="1"/>
        <v>344</v>
      </c>
      <c r="I63">
        <f t="shared" ca="1" si="2"/>
        <v>1720</v>
      </c>
      <c r="J63" s="5">
        <f t="shared" ca="1" si="3"/>
        <v>1204</v>
      </c>
      <c r="K63" s="5">
        <f t="shared" ca="1" si="4"/>
        <v>516</v>
      </c>
      <c r="L63" s="5">
        <f t="shared" ca="1" si="5"/>
        <v>4645</v>
      </c>
      <c r="M63" t="str">
        <f t="shared" si="6"/>
        <v>Jun</v>
      </c>
      <c r="N63" t="str">
        <f t="shared" si="7"/>
        <v>2025</v>
      </c>
      <c r="O63" s="3">
        <f t="shared" ca="1" si="8"/>
        <v>0.3</v>
      </c>
      <c r="P63" s="3">
        <f ca="1">Table1[[#This Row],[Sales]]/Table1[[#This Row],[Target]]</f>
        <v>0.37029063509149623</v>
      </c>
    </row>
    <row r="64" spans="1:16" x14ac:dyDescent="0.3">
      <c r="A64" t="s">
        <v>75</v>
      </c>
      <c r="B64" s="2">
        <v>45810</v>
      </c>
      <c r="C64" t="str" cm="1">
        <f t="array" aca="1" ref="C64" ca="1">INDEX({"North","South","East","West"}, RANDBETWEEN(1,4))</f>
        <v>West</v>
      </c>
      <c r="D64" t="str" cm="1">
        <f t="array" aca="1" ref="D64" ca="1">INDEX({"Alan","Bob","Charlie","David"},RANDBETWEEN(1,4))</f>
        <v>David</v>
      </c>
      <c r="E64" t="str" cm="1">
        <f t="array" aca="1" ref="E64" ca="1">INDEX({"Laptop","Smartphone","Smartwatch","Tablet","PC","Headphones"}, RANDBETWEEN(1,6))</f>
        <v>Tablet</v>
      </c>
      <c r="F64" t="str" cm="1">
        <f t="array" aca="1" ref="F64" ca="1">_xlfn.SWITCH(E64,
 "Laptop","Computing",
 "Smartphone","Electronics",
 "Tablet","Electronics",
 "Smartwatch","Wearables",
 "PC","Computing",
 "Headphones","Accessories",
 "Unknown")</f>
        <v>Electronics</v>
      </c>
      <c r="G64">
        <f t="shared" ca="1" si="0"/>
        <v>1</v>
      </c>
      <c r="H64">
        <f t="shared" ca="1" si="1"/>
        <v>812</v>
      </c>
      <c r="I64">
        <f t="shared" ca="1" si="2"/>
        <v>812</v>
      </c>
      <c r="J64" s="5">
        <f t="shared" ca="1" si="3"/>
        <v>568.4</v>
      </c>
      <c r="K64" s="5">
        <f t="shared" ca="1" si="4"/>
        <v>243.60000000000002</v>
      </c>
      <c r="L64" s="5">
        <f t="shared" ca="1" si="5"/>
        <v>3453</v>
      </c>
      <c r="M64" t="str">
        <f t="shared" si="6"/>
        <v>Jun</v>
      </c>
      <c r="N64" t="str">
        <f t="shared" si="7"/>
        <v>2025</v>
      </c>
      <c r="O64" s="3">
        <f t="shared" ca="1" si="8"/>
        <v>0.30000000000000004</v>
      </c>
      <c r="P64" s="3">
        <f ca="1">Table1[[#This Row],[Sales]]/Table1[[#This Row],[Target]]</f>
        <v>0.23515783376773819</v>
      </c>
    </row>
    <row r="65" spans="1:16" x14ac:dyDescent="0.3">
      <c r="A65" t="s">
        <v>76</v>
      </c>
      <c r="B65" s="2">
        <v>45811</v>
      </c>
      <c r="C65" t="str" cm="1">
        <f t="array" aca="1" ref="C65" ca="1">INDEX({"North","South","East","West"}, RANDBETWEEN(1,4))</f>
        <v>North</v>
      </c>
      <c r="D65" t="str" cm="1">
        <f t="array" aca="1" ref="D65" ca="1">INDEX({"Alan","Bob","Charlie","David"},RANDBETWEEN(1,4))</f>
        <v>Bob</v>
      </c>
      <c r="E65" t="str" cm="1">
        <f t="array" aca="1" ref="E65" ca="1">INDEX({"Laptop","Smartphone","Smartwatch","Tablet","PC","Headphones"}, RANDBETWEEN(1,6))</f>
        <v>Smartphone</v>
      </c>
      <c r="F65" t="str" cm="1">
        <f t="array" aca="1" ref="F65" ca="1">_xlfn.SWITCH(E65,
 "Laptop","Computing",
 "Smartphone","Electronics",
 "Tablet","Electronics",
 "Smartwatch","Wearables",
 "PC","Computing",
 "Headphones","Accessories",
 "Unknown")</f>
        <v>Electronics</v>
      </c>
      <c r="G65">
        <f t="shared" ca="1" si="0"/>
        <v>2</v>
      </c>
      <c r="H65">
        <f t="shared" ca="1" si="1"/>
        <v>520</v>
      </c>
      <c r="I65">
        <f t="shared" ca="1" si="2"/>
        <v>1040</v>
      </c>
      <c r="J65" s="5">
        <f t="shared" ca="1" si="3"/>
        <v>728</v>
      </c>
      <c r="K65" s="5">
        <f t="shared" ca="1" si="4"/>
        <v>312</v>
      </c>
      <c r="L65" s="5">
        <f t="shared" ca="1" si="5"/>
        <v>3611</v>
      </c>
      <c r="M65" t="str">
        <f t="shared" si="6"/>
        <v>Jun</v>
      </c>
      <c r="N65" t="str">
        <f t="shared" si="7"/>
        <v>2025</v>
      </c>
      <c r="O65" s="3">
        <f t="shared" ca="1" si="8"/>
        <v>0.3</v>
      </c>
      <c r="P65" s="3">
        <f ca="1">Table1[[#This Row],[Sales]]/Table1[[#This Row],[Target]]</f>
        <v>0.28800886181113267</v>
      </c>
    </row>
    <row r="66" spans="1:16" x14ac:dyDescent="0.3">
      <c r="A66" t="s">
        <v>77</v>
      </c>
      <c r="B66" s="2">
        <v>45812</v>
      </c>
      <c r="C66" t="str" cm="1">
        <f t="array" aca="1" ref="C66" ca="1">INDEX({"North","South","East","West"}, RANDBETWEEN(1,4))</f>
        <v>West</v>
      </c>
      <c r="D66" t="str" cm="1">
        <f t="array" aca="1" ref="D66" ca="1">INDEX({"Alan","Bob","Charlie","David"},RANDBETWEEN(1,4))</f>
        <v>Bob</v>
      </c>
      <c r="E66" t="str" cm="1">
        <f t="array" aca="1" ref="E66" ca="1">INDEX({"Laptop","Smartphone","Smartwatch","Tablet","PC","Headphones"}, RANDBETWEEN(1,6))</f>
        <v>Laptop</v>
      </c>
      <c r="F66" t="str" cm="1">
        <f t="array" aca="1" ref="F66" ca="1">_xlfn.SWITCH(E66,
 "Laptop","Computing",
 "Smartphone","Electronics",
 "Tablet","Electronics",
 "Smartwatch","Wearables",
 "PC","Computing",
 "Headphones","Accessories",
 "Unknown")</f>
        <v>Computing</v>
      </c>
      <c r="G66">
        <f t="shared" ca="1" si="0"/>
        <v>3</v>
      </c>
      <c r="H66">
        <f t="shared" ca="1" si="1"/>
        <v>129</v>
      </c>
      <c r="I66">
        <f t="shared" ca="1" si="2"/>
        <v>387</v>
      </c>
      <c r="J66" s="5">
        <f t="shared" ca="1" si="3"/>
        <v>270.89999999999998</v>
      </c>
      <c r="K66" s="5">
        <f t="shared" ca="1" si="4"/>
        <v>116.10000000000002</v>
      </c>
      <c r="L66" s="5">
        <f t="shared" ca="1" si="5"/>
        <v>2565</v>
      </c>
      <c r="M66" t="str">
        <f t="shared" si="6"/>
        <v>Jun</v>
      </c>
      <c r="N66" t="str">
        <f t="shared" si="7"/>
        <v>2025</v>
      </c>
      <c r="O66" s="3">
        <f t="shared" ca="1" si="8"/>
        <v>0.30000000000000004</v>
      </c>
      <c r="P66" s="3">
        <f ca="1">Table1[[#This Row],[Sales]]/Table1[[#This Row],[Target]]</f>
        <v>0.15087719298245614</v>
      </c>
    </row>
    <row r="67" spans="1:16" x14ac:dyDescent="0.3">
      <c r="A67" t="s">
        <v>78</v>
      </c>
      <c r="B67" s="2">
        <v>45813</v>
      </c>
      <c r="C67" t="str" cm="1">
        <f t="array" aca="1" ref="C67" ca="1">INDEX({"North","South","East","West"}, RANDBETWEEN(1,4))</f>
        <v>East</v>
      </c>
      <c r="D67" t="str" cm="1">
        <f t="array" aca="1" ref="D67" ca="1">INDEX({"Alan","Bob","Charlie","David"},RANDBETWEEN(1,4))</f>
        <v>David</v>
      </c>
      <c r="E67" t="str" cm="1">
        <f t="array" aca="1" ref="E67" ca="1">INDEX({"Laptop","Smartphone","Smartwatch","Tablet","PC","Headphones"}, RANDBETWEEN(1,6))</f>
        <v>Smartwatch</v>
      </c>
      <c r="F67" t="str" cm="1">
        <f t="array" aca="1" ref="F67" ca="1">_xlfn.SWITCH(E67,
 "Laptop","Computing",
 "Smartphone","Electronics",
 "Tablet","Electronics",
 "Smartwatch","Wearables",
 "PC","Computing",
 "Headphones","Accessories",
 "Unknown")</f>
        <v>Wearables</v>
      </c>
      <c r="G67">
        <f t="shared" ref="G67:G101" ca="1" si="9">RANDBETWEEN(1,10)</f>
        <v>1</v>
      </c>
      <c r="H67">
        <f t="shared" ref="H67:H101" ca="1" si="10">RANDBETWEEN(100,1000)</f>
        <v>750</v>
      </c>
      <c r="I67">
        <f t="shared" ref="I67:I101" ca="1" si="11">G67*H67</f>
        <v>750</v>
      </c>
      <c r="J67" s="5">
        <f t="shared" ref="J67:J101" ca="1" si="12">I67*70%</f>
        <v>525</v>
      </c>
      <c r="K67" s="5">
        <f t="shared" ref="K67:K101" ca="1" si="13">I67-J67</f>
        <v>225</v>
      </c>
      <c r="L67" s="5">
        <f t="shared" ref="L67:L101" ca="1" si="14">RANDBETWEEN(2500,5000)</f>
        <v>3854</v>
      </c>
      <c r="M67" t="str">
        <f t="shared" ref="M67:M101" si="15">TEXT(B67,"MMM")</f>
        <v>Jun</v>
      </c>
      <c r="N67" t="str">
        <f t="shared" ref="N67:N101" si="16">TEXT(B67,"YYYY")</f>
        <v>2025</v>
      </c>
      <c r="O67" s="3">
        <f t="shared" ref="O67:O101" ca="1" si="17">K67/I67</f>
        <v>0.3</v>
      </c>
      <c r="P67" s="3">
        <f ca="1">Table1[[#This Row],[Sales]]/Table1[[#This Row],[Target]]</f>
        <v>0.19460300985988582</v>
      </c>
    </row>
    <row r="68" spans="1:16" x14ac:dyDescent="0.3">
      <c r="A68" t="s">
        <v>79</v>
      </c>
      <c r="B68" s="2">
        <v>45814</v>
      </c>
      <c r="C68" t="str" cm="1">
        <f t="array" aca="1" ref="C68" ca="1">INDEX({"North","South","East","West"}, RANDBETWEEN(1,4))</f>
        <v>South</v>
      </c>
      <c r="D68" t="str" cm="1">
        <f t="array" aca="1" ref="D68" ca="1">INDEX({"Alan","Bob","Charlie","David"},RANDBETWEEN(1,4))</f>
        <v>Alan</v>
      </c>
      <c r="E68" t="str" cm="1">
        <f t="array" aca="1" ref="E68" ca="1">INDEX({"Laptop","Smartphone","Smartwatch","Tablet","PC","Headphones"}, RANDBETWEEN(1,6))</f>
        <v>Headphones</v>
      </c>
      <c r="F68" t="str" cm="1">
        <f t="array" aca="1" ref="F68" ca="1">_xlfn.SWITCH(E68,
 "Laptop","Computing",
 "Smartphone","Electronics",
 "Tablet","Electronics",
 "Smartwatch","Wearables",
 "PC","Computing",
 "Headphones","Accessories",
 "Unknown")</f>
        <v>Accessories</v>
      </c>
      <c r="G68">
        <f t="shared" ca="1" si="9"/>
        <v>2</v>
      </c>
      <c r="H68">
        <f t="shared" ca="1" si="10"/>
        <v>274</v>
      </c>
      <c r="I68">
        <f t="shared" ca="1" si="11"/>
        <v>548</v>
      </c>
      <c r="J68" s="5">
        <f t="shared" ca="1" si="12"/>
        <v>383.59999999999997</v>
      </c>
      <c r="K68" s="5">
        <f t="shared" ca="1" si="13"/>
        <v>164.40000000000003</v>
      </c>
      <c r="L68" s="5">
        <f t="shared" ca="1" si="14"/>
        <v>2640</v>
      </c>
      <c r="M68" t="str">
        <f t="shared" si="15"/>
        <v>Jun</v>
      </c>
      <c r="N68" t="str">
        <f t="shared" si="16"/>
        <v>2025</v>
      </c>
      <c r="O68" s="3">
        <f t="shared" ca="1" si="17"/>
        <v>0.30000000000000004</v>
      </c>
      <c r="P68" s="3">
        <f ca="1">Table1[[#This Row],[Sales]]/Table1[[#This Row],[Target]]</f>
        <v>0.20757575757575758</v>
      </c>
    </row>
    <row r="69" spans="1:16" x14ac:dyDescent="0.3">
      <c r="A69" t="s">
        <v>80</v>
      </c>
      <c r="B69" s="2">
        <v>45815</v>
      </c>
      <c r="C69" t="str" cm="1">
        <f t="array" aca="1" ref="C69" ca="1">INDEX({"North","South","East","West"}, RANDBETWEEN(1,4))</f>
        <v>West</v>
      </c>
      <c r="D69" t="str" cm="1">
        <f t="array" aca="1" ref="D69" ca="1">INDEX({"Alan","Bob","Charlie","David"},RANDBETWEEN(1,4))</f>
        <v>David</v>
      </c>
      <c r="E69" t="str" cm="1">
        <f t="array" aca="1" ref="E69" ca="1">INDEX({"Laptop","Smartphone","Smartwatch","Tablet","PC","Headphones"}, RANDBETWEEN(1,6))</f>
        <v>Tablet</v>
      </c>
      <c r="F69" t="str" cm="1">
        <f t="array" aca="1" ref="F69" ca="1">_xlfn.SWITCH(E69,
 "Laptop","Computing",
 "Smartphone","Electronics",
 "Tablet","Electronics",
 "Smartwatch","Wearables",
 "PC","Computing",
 "Headphones","Accessories",
 "Unknown")</f>
        <v>Electronics</v>
      </c>
      <c r="G69">
        <f t="shared" ca="1" si="9"/>
        <v>1</v>
      </c>
      <c r="H69">
        <f t="shared" ca="1" si="10"/>
        <v>856</v>
      </c>
      <c r="I69">
        <f t="shared" ca="1" si="11"/>
        <v>856</v>
      </c>
      <c r="J69" s="5">
        <f t="shared" ca="1" si="12"/>
        <v>599.19999999999993</v>
      </c>
      <c r="K69" s="5">
        <f t="shared" ca="1" si="13"/>
        <v>256.80000000000007</v>
      </c>
      <c r="L69" s="5">
        <f t="shared" ca="1" si="14"/>
        <v>3609</v>
      </c>
      <c r="M69" t="str">
        <f t="shared" si="15"/>
        <v>Jun</v>
      </c>
      <c r="N69" t="str">
        <f t="shared" si="16"/>
        <v>2025</v>
      </c>
      <c r="O69" s="3">
        <f t="shared" ca="1" si="17"/>
        <v>0.3000000000000001</v>
      </c>
      <c r="P69" s="3">
        <f ca="1">Table1[[#This Row],[Sales]]/Table1[[#This Row],[Target]]</f>
        <v>0.2371848157384317</v>
      </c>
    </row>
    <row r="70" spans="1:16" x14ac:dyDescent="0.3">
      <c r="A70" t="s">
        <v>81</v>
      </c>
      <c r="B70" s="2">
        <v>45816</v>
      </c>
      <c r="C70" t="str" cm="1">
        <f t="array" aca="1" ref="C70" ca="1">INDEX({"North","South","East","West"}, RANDBETWEEN(1,4))</f>
        <v>North</v>
      </c>
      <c r="D70" t="str" cm="1">
        <f t="array" aca="1" ref="D70" ca="1">INDEX({"Alan","Bob","Charlie","David"},RANDBETWEEN(1,4))</f>
        <v>Charlie</v>
      </c>
      <c r="E70" t="str" cm="1">
        <f t="array" aca="1" ref="E70" ca="1">INDEX({"Laptop","Smartphone","Smartwatch","Tablet","PC","Headphones"}, RANDBETWEEN(1,6))</f>
        <v>Smartphone</v>
      </c>
      <c r="F70" t="str" cm="1">
        <f t="array" aca="1" ref="F70" ca="1">_xlfn.SWITCH(E70,
 "Laptop","Computing",
 "Smartphone","Electronics",
 "Tablet","Electronics",
 "Smartwatch","Wearables",
 "PC","Computing",
 "Headphones","Accessories",
 "Unknown")</f>
        <v>Electronics</v>
      </c>
      <c r="G70">
        <f t="shared" ca="1" si="9"/>
        <v>4</v>
      </c>
      <c r="H70">
        <f t="shared" ca="1" si="10"/>
        <v>428</v>
      </c>
      <c r="I70">
        <f t="shared" ca="1" si="11"/>
        <v>1712</v>
      </c>
      <c r="J70" s="5">
        <f t="shared" ca="1" si="12"/>
        <v>1198.3999999999999</v>
      </c>
      <c r="K70" s="5">
        <f t="shared" ca="1" si="13"/>
        <v>513.60000000000014</v>
      </c>
      <c r="L70" s="5">
        <f t="shared" ca="1" si="14"/>
        <v>3573</v>
      </c>
      <c r="M70" t="str">
        <f t="shared" si="15"/>
        <v>Jun</v>
      </c>
      <c r="N70" t="str">
        <f t="shared" si="16"/>
        <v>2025</v>
      </c>
      <c r="O70" s="3">
        <f t="shared" ca="1" si="17"/>
        <v>0.3000000000000001</v>
      </c>
      <c r="P70" s="3">
        <f ca="1">Table1[[#This Row],[Sales]]/Table1[[#This Row],[Target]]</f>
        <v>0.47914917436328014</v>
      </c>
    </row>
    <row r="71" spans="1:16" x14ac:dyDescent="0.3">
      <c r="A71" t="s">
        <v>82</v>
      </c>
      <c r="B71" s="2">
        <v>45817</v>
      </c>
      <c r="C71" t="str" cm="1">
        <f t="array" aca="1" ref="C71" ca="1">INDEX({"North","South","East","West"}, RANDBETWEEN(1,4))</f>
        <v>East</v>
      </c>
      <c r="D71" t="str" cm="1">
        <f t="array" aca="1" ref="D71" ca="1">INDEX({"Alan","Bob","Charlie","David"},RANDBETWEEN(1,4))</f>
        <v>Alan</v>
      </c>
      <c r="E71" t="str" cm="1">
        <f t="array" aca="1" ref="E71" ca="1">INDEX({"Laptop","Smartphone","Smartwatch","Tablet","PC","Headphones"}, RANDBETWEEN(1,6))</f>
        <v>PC</v>
      </c>
      <c r="F71" t="str" cm="1">
        <f t="array" aca="1" ref="F71" ca="1">_xlfn.SWITCH(E71,
 "Laptop","Computing",
 "Smartphone","Electronics",
 "Tablet","Electronics",
 "Smartwatch","Wearables",
 "PC","Computing",
 "Headphones","Accessories",
 "Unknown")</f>
        <v>Computing</v>
      </c>
      <c r="G71">
        <f t="shared" ca="1" si="9"/>
        <v>3</v>
      </c>
      <c r="H71">
        <f t="shared" ca="1" si="10"/>
        <v>825</v>
      </c>
      <c r="I71">
        <f t="shared" ca="1" si="11"/>
        <v>2475</v>
      </c>
      <c r="J71" s="5">
        <f t="shared" ca="1" si="12"/>
        <v>1732.5</v>
      </c>
      <c r="K71" s="5">
        <f t="shared" ca="1" si="13"/>
        <v>742.5</v>
      </c>
      <c r="L71" s="5">
        <f t="shared" ca="1" si="14"/>
        <v>4036</v>
      </c>
      <c r="M71" t="str">
        <f t="shared" si="15"/>
        <v>Jun</v>
      </c>
      <c r="N71" t="str">
        <f t="shared" si="16"/>
        <v>2025</v>
      </c>
      <c r="O71" s="3">
        <f t="shared" ca="1" si="17"/>
        <v>0.3</v>
      </c>
      <c r="P71" s="3">
        <f ca="1">Table1[[#This Row],[Sales]]/Table1[[#This Row],[Target]]</f>
        <v>0.61323092170465809</v>
      </c>
    </row>
    <row r="72" spans="1:16" x14ac:dyDescent="0.3">
      <c r="A72" t="s">
        <v>83</v>
      </c>
      <c r="B72" s="2">
        <v>45818</v>
      </c>
      <c r="C72" t="str" cm="1">
        <f t="array" aca="1" ref="C72" ca="1">INDEX({"North","South","East","West"}, RANDBETWEEN(1,4))</f>
        <v>East</v>
      </c>
      <c r="D72" t="str" cm="1">
        <f t="array" aca="1" ref="D72" ca="1">INDEX({"Alan","Bob","Charlie","David"},RANDBETWEEN(1,4))</f>
        <v>Bob</v>
      </c>
      <c r="E72" t="str" cm="1">
        <f t="array" aca="1" ref="E72" ca="1">INDEX({"Laptop","Smartphone","Smartwatch","Tablet","PC","Headphones"}, RANDBETWEEN(1,6))</f>
        <v>Smartphone</v>
      </c>
      <c r="F72" t="str" cm="1">
        <f t="array" aca="1" ref="F72" ca="1">_xlfn.SWITCH(E72,
 "Laptop","Computing",
 "Smartphone","Electronics",
 "Tablet","Electronics",
 "Smartwatch","Wearables",
 "PC","Computing",
 "Headphones","Accessories",
 "Unknown")</f>
        <v>Electronics</v>
      </c>
      <c r="G72">
        <f t="shared" ca="1" si="9"/>
        <v>6</v>
      </c>
      <c r="H72">
        <f t="shared" ca="1" si="10"/>
        <v>291</v>
      </c>
      <c r="I72">
        <f t="shared" ca="1" si="11"/>
        <v>1746</v>
      </c>
      <c r="J72" s="5">
        <f t="shared" ca="1" si="12"/>
        <v>1222.1999999999998</v>
      </c>
      <c r="K72" s="5">
        <f t="shared" ca="1" si="13"/>
        <v>523.80000000000018</v>
      </c>
      <c r="L72" s="5">
        <f t="shared" ca="1" si="14"/>
        <v>4846</v>
      </c>
      <c r="M72" t="str">
        <f t="shared" si="15"/>
        <v>Jun</v>
      </c>
      <c r="N72" t="str">
        <f t="shared" si="16"/>
        <v>2025</v>
      </c>
      <c r="O72" s="3">
        <f t="shared" ca="1" si="17"/>
        <v>0.3000000000000001</v>
      </c>
      <c r="P72" s="3">
        <f ca="1">Table1[[#This Row],[Sales]]/Table1[[#This Row],[Target]]</f>
        <v>0.36029715229054893</v>
      </c>
    </row>
    <row r="73" spans="1:16" x14ac:dyDescent="0.3">
      <c r="A73" t="s">
        <v>84</v>
      </c>
      <c r="B73" s="2">
        <v>45819</v>
      </c>
      <c r="C73" t="str" cm="1">
        <f t="array" aca="1" ref="C73" ca="1">INDEX({"North","South","East","West"}, RANDBETWEEN(1,4))</f>
        <v>West</v>
      </c>
      <c r="D73" t="str" cm="1">
        <f t="array" aca="1" ref="D73" ca="1">INDEX({"Alan","Bob","Charlie","David"},RANDBETWEEN(1,4))</f>
        <v>Charlie</v>
      </c>
      <c r="E73" t="str" cm="1">
        <f t="array" aca="1" ref="E73" ca="1">INDEX({"Laptop","Smartphone","Smartwatch","Tablet","PC","Headphones"}, RANDBETWEEN(1,6))</f>
        <v>PC</v>
      </c>
      <c r="F73" t="str" cm="1">
        <f t="array" aca="1" ref="F73" ca="1">_xlfn.SWITCH(E73,
 "Laptop","Computing",
 "Smartphone","Electronics",
 "Tablet","Electronics",
 "Smartwatch","Wearables",
 "PC","Computing",
 "Headphones","Accessories",
 "Unknown")</f>
        <v>Computing</v>
      </c>
      <c r="G73">
        <f t="shared" ca="1" si="9"/>
        <v>1</v>
      </c>
      <c r="H73">
        <f t="shared" ca="1" si="10"/>
        <v>626</v>
      </c>
      <c r="I73">
        <f t="shared" ca="1" si="11"/>
        <v>626</v>
      </c>
      <c r="J73" s="5">
        <f t="shared" ca="1" si="12"/>
        <v>438.2</v>
      </c>
      <c r="K73" s="5">
        <f t="shared" ca="1" si="13"/>
        <v>187.8</v>
      </c>
      <c r="L73" s="5">
        <f t="shared" ca="1" si="14"/>
        <v>3420</v>
      </c>
      <c r="M73" t="str">
        <f t="shared" si="15"/>
        <v>Jun</v>
      </c>
      <c r="N73" t="str">
        <f t="shared" si="16"/>
        <v>2025</v>
      </c>
      <c r="O73" s="3">
        <f t="shared" ca="1" si="17"/>
        <v>0.30000000000000004</v>
      </c>
      <c r="P73" s="3">
        <f ca="1">Table1[[#This Row],[Sales]]/Table1[[#This Row],[Target]]</f>
        <v>0.18304093567251462</v>
      </c>
    </row>
    <row r="74" spans="1:16" x14ac:dyDescent="0.3">
      <c r="A74" t="s">
        <v>85</v>
      </c>
      <c r="B74" s="2">
        <v>45820</v>
      </c>
      <c r="C74" t="str" cm="1">
        <f t="array" aca="1" ref="C74" ca="1">INDEX({"North","South","East","West"}, RANDBETWEEN(1,4))</f>
        <v>West</v>
      </c>
      <c r="D74" t="str" cm="1">
        <f t="array" aca="1" ref="D74" ca="1">INDEX({"Alan","Bob","Charlie","David"},RANDBETWEEN(1,4))</f>
        <v>Charlie</v>
      </c>
      <c r="E74" t="str" cm="1">
        <f t="array" aca="1" ref="E74" ca="1">INDEX({"Laptop","Smartphone","Smartwatch","Tablet","PC","Headphones"}, RANDBETWEEN(1,6))</f>
        <v>Smartphone</v>
      </c>
      <c r="F74" t="str" cm="1">
        <f t="array" aca="1" ref="F74" ca="1">_xlfn.SWITCH(E74,
 "Laptop","Computing",
 "Smartphone","Electronics",
 "Tablet","Electronics",
 "Smartwatch","Wearables",
 "PC","Computing",
 "Headphones","Accessories",
 "Unknown")</f>
        <v>Electronics</v>
      </c>
      <c r="G74">
        <f t="shared" ca="1" si="9"/>
        <v>2</v>
      </c>
      <c r="H74">
        <f t="shared" ca="1" si="10"/>
        <v>325</v>
      </c>
      <c r="I74">
        <f t="shared" ca="1" si="11"/>
        <v>650</v>
      </c>
      <c r="J74" s="5">
        <f t="shared" ca="1" si="12"/>
        <v>454.99999999999994</v>
      </c>
      <c r="K74" s="5">
        <f t="shared" ca="1" si="13"/>
        <v>195.00000000000006</v>
      </c>
      <c r="L74" s="5">
        <f t="shared" ca="1" si="14"/>
        <v>4561</v>
      </c>
      <c r="M74" t="str">
        <f t="shared" si="15"/>
        <v>Jun</v>
      </c>
      <c r="N74" t="str">
        <f t="shared" si="16"/>
        <v>2025</v>
      </c>
      <c r="O74" s="3">
        <f t="shared" ca="1" si="17"/>
        <v>0.3000000000000001</v>
      </c>
      <c r="P74" s="3">
        <f ca="1">Table1[[#This Row],[Sales]]/Table1[[#This Row],[Target]]</f>
        <v>0.14251260688445516</v>
      </c>
    </row>
    <row r="75" spans="1:16" x14ac:dyDescent="0.3">
      <c r="A75" t="s">
        <v>86</v>
      </c>
      <c r="B75" s="2">
        <v>45821</v>
      </c>
      <c r="C75" t="str" cm="1">
        <f t="array" aca="1" ref="C75" ca="1">INDEX({"North","South","East","West"}, RANDBETWEEN(1,4))</f>
        <v>North</v>
      </c>
      <c r="D75" t="str" cm="1">
        <f t="array" aca="1" ref="D75" ca="1">INDEX({"Alan","Bob","Charlie","David"},RANDBETWEEN(1,4))</f>
        <v>Bob</v>
      </c>
      <c r="E75" t="str" cm="1">
        <f t="array" aca="1" ref="E75" ca="1">INDEX({"Laptop","Smartphone","Smartwatch","Tablet","PC","Headphones"}, RANDBETWEEN(1,6))</f>
        <v>Smartwatch</v>
      </c>
      <c r="F75" t="str" cm="1">
        <f t="array" aca="1" ref="F75" ca="1">_xlfn.SWITCH(E75,
 "Laptop","Computing",
 "Smartphone","Electronics",
 "Tablet","Electronics",
 "Smartwatch","Wearables",
 "PC","Computing",
 "Headphones","Accessories",
 "Unknown")</f>
        <v>Wearables</v>
      </c>
      <c r="G75">
        <f t="shared" ca="1" si="9"/>
        <v>10</v>
      </c>
      <c r="H75">
        <f t="shared" ca="1" si="10"/>
        <v>233</v>
      </c>
      <c r="I75">
        <f t="shared" ca="1" si="11"/>
        <v>2330</v>
      </c>
      <c r="J75" s="5">
        <f t="shared" ca="1" si="12"/>
        <v>1631</v>
      </c>
      <c r="K75" s="5">
        <f t="shared" ca="1" si="13"/>
        <v>699</v>
      </c>
      <c r="L75" s="5">
        <f t="shared" ca="1" si="14"/>
        <v>3068</v>
      </c>
      <c r="M75" t="str">
        <f t="shared" si="15"/>
        <v>Jun</v>
      </c>
      <c r="N75" t="str">
        <f t="shared" si="16"/>
        <v>2025</v>
      </c>
      <c r="O75" s="3">
        <f t="shared" ca="1" si="17"/>
        <v>0.3</v>
      </c>
      <c r="P75" s="3">
        <f ca="1">Table1[[#This Row],[Sales]]/Table1[[#This Row],[Target]]</f>
        <v>0.75945241199478486</v>
      </c>
    </row>
    <row r="76" spans="1:16" x14ac:dyDescent="0.3">
      <c r="A76" t="s">
        <v>87</v>
      </c>
      <c r="B76" s="2">
        <v>45822</v>
      </c>
      <c r="C76" t="str" cm="1">
        <f t="array" aca="1" ref="C76" ca="1">INDEX({"North","South","East","West"}, RANDBETWEEN(1,4))</f>
        <v>North</v>
      </c>
      <c r="D76" t="str" cm="1">
        <f t="array" aca="1" ref="D76" ca="1">INDEX({"Alan","Bob","Charlie","David"},RANDBETWEEN(1,4))</f>
        <v>Charlie</v>
      </c>
      <c r="E76" t="str" cm="1">
        <f t="array" aca="1" ref="E76" ca="1">INDEX({"Laptop","Smartphone","Smartwatch","Tablet","PC","Headphones"}, RANDBETWEEN(1,6))</f>
        <v>Tablet</v>
      </c>
      <c r="F76" t="str" cm="1">
        <f t="array" aca="1" ref="F76" ca="1">_xlfn.SWITCH(E76,
 "Laptop","Computing",
 "Smartphone","Electronics",
 "Tablet","Electronics",
 "Smartwatch","Wearables",
 "PC","Computing",
 "Headphones","Accessories",
 "Unknown")</f>
        <v>Electronics</v>
      </c>
      <c r="G76">
        <f t="shared" ca="1" si="9"/>
        <v>3</v>
      </c>
      <c r="H76">
        <f t="shared" ca="1" si="10"/>
        <v>535</v>
      </c>
      <c r="I76">
        <f t="shared" ca="1" si="11"/>
        <v>1605</v>
      </c>
      <c r="J76" s="5">
        <f t="shared" ca="1" si="12"/>
        <v>1123.5</v>
      </c>
      <c r="K76" s="5">
        <f t="shared" ca="1" si="13"/>
        <v>481.5</v>
      </c>
      <c r="L76" s="5">
        <f t="shared" ca="1" si="14"/>
        <v>3136</v>
      </c>
      <c r="M76" t="str">
        <f t="shared" si="15"/>
        <v>Jun</v>
      </c>
      <c r="N76" t="str">
        <f t="shared" si="16"/>
        <v>2025</v>
      </c>
      <c r="O76" s="3">
        <f t="shared" ca="1" si="17"/>
        <v>0.3</v>
      </c>
      <c r="P76" s="3">
        <f ca="1">Table1[[#This Row],[Sales]]/Table1[[#This Row],[Target]]</f>
        <v>0.51179846938775508</v>
      </c>
    </row>
    <row r="77" spans="1:16" x14ac:dyDescent="0.3">
      <c r="A77" t="s">
        <v>88</v>
      </c>
      <c r="B77" s="2">
        <v>45823</v>
      </c>
      <c r="C77" t="str" cm="1">
        <f t="array" aca="1" ref="C77" ca="1">INDEX({"North","South","East","West"}, RANDBETWEEN(1,4))</f>
        <v>South</v>
      </c>
      <c r="D77" t="str" cm="1">
        <f t="array" aca="1" ref="D77" ca="1">INDEX({"Alan","Bob","Charlie","David"},RANDBETWEEN(1,4))</f>
        <v>David</v>
      </c>
      <c r="E77" t="str" cm="1">
        <f t="array" aca="1" ref="E77" ca="1">INDEX({"Laptop","Smartphone","Smartwatch","Tablet","PC","Headphones"}, RANDBETWEEN(1,6))</f>
        <v>Tablet</v>
      </c>
      <c r="F77" t="str" cm="1">
        <f t="array" aca="1" ref="F77" ca="1">_xlfn.SWITCH(E77,
 "Laptop","Computing",
 "Smartphone","Electronics",
 "Tablet","Electronics",
 "Smartwatch","Wearables",
 "PC","Computing",
 "Headphones","Accessories",
 "Unknown")</f>
        <v>Electronics</v>
      </c>
      <c r="G77">
        <f t="shared" ca="1" si="9"/>
        <v>7</v>
      </c>
      <c r="H77">
        <f t="shared" ca="1" si="10"/>
        <v>496</v>
      </c>
      <c r="I77">
        <f t="shared" ca="1" si="11"/>
        <v>3472</v>
      </c>
      <c r="J77" s="5">
        <f t="shared" ca="1" si="12"/>
        <v>2430.3999999999996</v>
      </c>
      <c r="K77" s="5">
        <f t="shared" ca="1" si="13"/>
        <v>1041.6000000000004</v>
      </c>
      <c r="L77" s="5">
        <f t="shared" ca="1" si="14"/>
        <v>4538</v>
      </c>
      <c r="M77" t="str">
        <f t="shared" si="15"/>
        <v>Jun</v>
      </c>
      <c r="N77" t="str">
        <f t="shared" si="16"/>
        <v>2025</v>
      </c>
      <c r="O77" s="3">
        <f t="shared" ca="1" si="17"/>
        <v>0.3000000000000001</v>
      </c>
      <c r="P77" s="3">
        <f ca="1">Table1[[#This Row],[Sales]]/Table1[[#This Row],[Target]]</f>
        <v>0.76509475539885408</v>
      </c>
    </row>
    <row r="78" spans="1:16" x14ac:dyDescent="0.3">
      <c r="A78" t="s">
        <v>89</v>
      </c>
      <c r="B78" s="2">
        <v>45824</v>
      </c>
      <c r="C78" t="str" cm="1">
        <f t="array" aca="1" ref="C78" ca="1">INDEX({"North","South","East","West"}, RANDBETWEEN(1,4))</f>
        <v>North</v>
      </c>
      <c r="D78" t="str" cm="1">
        <f t="array" aca="1" ref="D78" ca="1">INDEX({"Alan","Bob","Charlie","David"},RANDBETWEEN(1,4))</f>
        <v>Alan</v>
      </c>
      <c r="E78" t="str" cm="1">
        <f t="array" aca="1" ref="E78" ca="1">INDEX({"Laptop","Smartphone","Smartwatch","Tablet","PC","Headphones"}, RANDBETWEEN(1,6))</f>
        <v>Laptop</v>
      </c>
      <c r="F78" t="str" cm="1">
        <f t="array" aca="1" ref="F78" ca="1">_xlfn.SWITCH(E78,
 "Laptop","Computing",
 "Smartphone","Electronics",
 "Tablet","Electronics",
 "Smartwatch","Wearables",
 "PC","Computing",
 "Headphones","Accessories",
 "Unknown")</f>
        <v>Computing</v>
      </c>
      <c r="G78">
        <f t="shared" ca="1" si="9"/>
        <v>3</v>
      </c>
      <c r="H78">
        <f t="shared" ca="1" si="10"/>
        <v>920</v>
      </c>
      <c r="I78">
        <f t="shared" ca="1" si="11"/>
        <v>2760</v>
      </c>
      <c r="J78" s="5">
        <f t="shared" ca="1" si="12"/>
        <v>1931.9999999999998</v>
      </c>
      <c r="K78" s="5">
        <f t="shared" ca="1" si="13"/>
        <v>828.00000000000023</v>
      </c>
      <c r="L78" s="5">
        <f t="shared" ca="1" si="14"/>
        <v>3494</v>
      </c>
      <c r="M78" t="str">
        <f t="shared" si="15"/>
        <v>Jun</v>
      </c>
      <c r="N78" t="str">
        <f t="shared" si="16"/>
        <v>2025</v>
      </c>
      <c r="O78" s="3">
        <f t="shared" ca="1" si="17"/>
        <v>0.3000000000000001</v>
      </c>
      <c r="P78" s="3">
        <f ca="1">Table1[[#This Row],[Sales]]/Table1[[#This Row],[Target]]</f>
        <v>0.78992558672009161</v>
      </c>
    </row>
    <row r="79" spans="1:16" x14ac:dyDescent="0.3">
      <c r="A79" t="s">
        <v>90</v>
      </c>
      <c r="B79" s="2">
        <v>45825</v>
      </c>
      <c r="C79" t="str" cm="1">
        <f t="array" aca="1" ref="C79" ca="1">INDEX({"North","South","East","West"}, RANDBETWEEN(1,4))</f>
        <v>West</v>
      </c>
      <c r="D79" t="str" cm="1">
        <f t="array" aca="1" ref="D79" ca="1">INDEX({"Alan","Bob","Charlie","David"},RANDBETWEEN(1,4))</f>
        <v>Alan</v>
      </c>
      <c r="E79" t="str" cm="1">
        <f t="array" aca="1" ref="E79" ca="1">INDEX({"Laptop","Smartphone","Smartwatch","Tablet","PC","Headphones"}, RANDBETWEEN(1,6))</f>
        <v>Smartwatch</v>
      </c>
      <c r="F79" t="str" cm="1">
        <f t="array" aca="1" ref="F79" ca="1">_xlfn.SWITCH(E79,
 "Laptop","Computing",
 "Smartphone","Electronics",
 "Tablet","Electronics",
 "Smartwatch","Wearables",
 "PC","Computing",
 "Headphones","Accessories",
 "Unknown")</f>
        <v>Wearables</v>
      </c>
      <c r="G79">
        <f t="shared" ca="1" si="9"/>
        <v>10</v>
      </c>
      <c r="H79">
        <f t="shared" ca="1" si="10"/>
        <v>572</v>
      </c>
      <c r="I79">
        <f t="shared" ca="1" si="11"/>
        <v>5720</v>
      </c>
      <c r="J79" s="5">
        <f t="shared" ca="1" si="12"/>
        <v>4003.9999999999995</v>
      </c>
      <c r="K79" s="5">
        <f t="shared" ca="1" si="13"/>
        <v>1716.0000000000005</v>
      </c>
      <c r="L79" s="5">
        <f t="shared" ca="1" si="14"/>
        <v>4642</v>
      </c>
      <c r="M79" t="str">
        <f t="shared" si="15"/>
        <v>Jun</v>
      </c>
      <c r="N79" t="str">
        <f t="shared" si="16"/>
        <v>2025</v>
      </c>
      <c r="O79" s="3">
        <f t="shared" ca="1" si="17"/>
        <v>0.3000000000000001</v>
      </c>
      <c r="P79" s="3">
        <f ca="1">Table1[[#This Row],[Sales]]/Table1[[#This Row],[Target]]</f>
        <v>1.2322274881516588</v>
      </c>
    </row>
    <row r="80" spans="1:16" x14ac:dyDescent="0.3">
      <c r="A80" t="s">
        <v>91</v>
      </c>
      <c r="B80" s="2">
        <v>45826</v>
      </c>
      <c r="C80" t="str" cm="1">
        <f t="array" aca="1" ref="C80" ca="1">INDEX({"North","South","East","West"}, RANDBETWEEN(1,4))</f>
        <v>West</v>
      </c>
      <c r="D80" t="str" cm="1">
        <f t="array" aca="1" ref="D80" ca="1">INDEX({"Alan","Bob","Charlie","David"},RANDBETWEEN(1,4))</f>
        <v>David</v>
      </c>
      <c r="E80" t="str" cm="1">
        <f t="array" aca="1" ref="E80" ca="1">INDEX({"Laptop","Smartphone","Smartwatch","Tablet","PC","Headphones"}, RANDBETWEEN(1,6))</f>
        <v>Smartphone</v>
      </c>
      <c r="F80" t="str" cm="1">
        <f t="array" aca="1" ref="F80" ca="1">_xlfn.SWITCH(E80,
 "Laptop","Computing",
 "Smartphone","Electronics",
 "Tablet","Electronics",
 "Smartwatch","Wearables",
 "PC","Computing",
 "Headphones","Accessories",
 "Unknown")</f>
        <v>Electronics</v>
      </c>
      <c r="G80">
        <f t="shared" ca="1" si="9"/>
        <v>8</v>
      </c>
      <c r="H80">
        <f t="shared" ca="1" si="10"/>
        <v>238</v>
      </c>
      <c r="I80">
        <f t="shared" ca="1" si="11"/>
        <v>1904</v>
      </c>
      <c r="J80" s="5">
        <f t="shared" ca="1" si="12"/>
        <v>1332.8</v>
      </c>
      <c r="K80" s="5">
        <f t="shared" ca="1" si="13"/>
        <v>571.20000000000005</v>
      </c>
      <c r="L80" s="5">
        <f t="shared" ca="1" si="14"/>
        <v>4887</v>
      </c>
      <c r="M80" t="str">
        <f t="shared" si="15"/>
        <v>Jun</v>
      </c>
      <c r="N80" t="str">
        <f t="shared" si="16"/>
        <v>2025</v>
      </c>
      <c r="O80" s="3">
        <f t="shared" ca="1" si="17"/>
        <v>0.30000000000000004</v>
      </c>
      <c r="P80" s="3">
        <f ca="1">Table1[[#This Row],[Sales]]/Table1[[#This Row],[Target]]</f>
        <v>0.38960507468794764</v>
      </c>
    </row>
    <row r="81" spans="1:16" x14ac:dyDescent="0.3">
      <c r="A81" t="s">
        <v>92</v>
      </c>
      <c r="B81" s="2">
        <v>45827</v>
      </c>
      <c r="C81" t="str" cm="1">
        <f t="array" aca="1" ref="C81" ca="1">INDEX({"North","South","East","West"}, RANDBETWEEN(1,4))</f>
        <v>East</v>
      </c>
      <c r="D81" t="str" cm="1">
        <f t="array" aca="1" ref="D81" ca="1">INDEX({"Alan","Bob","Charlie","David"},RANDBETWEEN(1,4))</f>
        <v>David</v>
      </c>
      <c r="E81" t="str" cm="1">
        <f t="array" aca="1" ref="E81" ca="1">INDEX({"Laptop","Smartphone","Smartwatch","Tablet","PC","Headphones"}, RANDBETWEEN(1,6))</f>
        <v>Laptop</v>
      </c>
      <c r="F81" t="str" cm="1">
        <f t="array" aca="1" ref="F81" ca="1">_xlfn.SWITCH(E81,
 "Laptop","Computing",
 "Smartphone","Electronics",
 "Tablet","Electronics",
 "Smartwatch","Wearables",
 "PC","Computing",
 "Headphones","Accessories",
 "Unknown")</f>
        <v>Computing</v>
      </c>
      <c r="G81">
        <f t="shared" ca="1" si="9"/>
        <v>8</v>
      </c>
      <c r="H81">
        <f t="shared" ca="1" si="10"/>
        <v>800</v>
      </c>
      <c r="I81">
        <f t="shared" ca="1" si="11"/>
        <v>6400</v>
      </c>
      <c r="J81" s="5">
        <f t="shared" ca="1" si="12"/>
        <v>4480</v>
      </c>
      <c r="K81" s="5">
        <f t="shared" ca="1" si="13"/>
        <v>1920</v>
      </c>
      <c r="L81" s="5">
        <f t="shared" ca="1" si="14"/>
        <v>4809</v>
      </c>
      <c r="M81" t="str">
        <f t="shared" si="15"/>
        <v>Jun</v>
      </c>
      <c r="N81" t="str">
        <f t="shared" si="16"/>
        <v>2025</v>
      </c>
      <c r="O81" s="3">
        <f t="shared" ca="1" si="17"/>
        <v>0.3</v>
      </c>
      <c r="P81" s="3">
        <f ca="1">Table1[[#This Row],[Sales]]/Table1[[#This Row],[Target]]</f>
        <v>1.3308380120607195</v>
      </c>
    </row>
    <row r="82" spans="1:16" x14ac:dyDescent="0.3">
      <c r="A82" t="s">
        <v>93</v>
      </c>
      <c r="B82" s="2">
        <v>45828</v>
      </c>
      <c r="C82" t="str" cm="1">
        <f t="array" aca="1" ref="C82" ca="1">INDEX({"North","South","East","West"}, RANDBETWEEN(1,4))</f>
        <v>North</v>
      </c>
      <c r="D82" t="str" cm="1">
        <f t="array" aca="1" ref="D82" ca="1">INDEX({"Alan","Bob","Charlie","David"},RANDBETWEEN(1,4))</f>
        <v>Charlie</v>
      </c>
      <c r="E82" t="str" cm="1">
        <f t="array" aca="1" ref="E82" ca="1">INDEX({"Laptop","Smartphone","Smartwatch","Tablet","PC","Headphones"}, RANDBETWEEN(1,6))</f>
        <v>Smartphone</v>
      </c>
      <c r="F82" t="str" cm="1">
        <f t="array" aca="1" ref="F82" ca="1">_xlfn.SWITCH(E82,
 "Laptop","Computing",
 "Smartphone","Electronics",
 "Tablet","Electronics",
 "Smartwatch","Wearables",
 "PC","Computing",
 "Headphones","Accessories",
 "Unknown")</f>
        <v>Electronics</v>
      </c>
      <c r="G82">
        <f t="shared" ca="1" si="9"/>
        <v>7</v>
      </c>
      <c r="H82">
        <f t="shared" ca="1" si="10"/>
        <v>986</v>
      </c>
      <c r="I82">
        <f t="shared" ca="1" si="11"/>
        <v>6902</v>
      </c>
      <c r="J82" s="5">
        <f t="shared" ca="1" si="12"/>
        <v>4831.3999999999996</v>
      </c>
      <c r="K82" s="5">
        <f t="shared" ca="1" si="13"/>
        <v>2070.6000000000004</v>
      </c>
      <c r="L82" s="5">
        <f t="shared" ca="1" si="14"/>
        <v>3403</v>
      </c>
      <c r="M82" t="str">
        <f t="shared" si="15"/>
        <v>Jun</v>
      </c>
      <c r="N82" t="str">
        <f t="shared" si="16"/>
        <v>2025</v>
      </c>
      <c r="O82" s="3">
        <f t="shared" ca="1" si="17"/>
        <v>0.30000000000000004</v>
      </c>
      <c r="P82" s="3">
        <f ca="1">Table1[[#This Row],[Sales]]/Table1[[#This Row],[Target]]</f>
        <v>2.0282104025859535</v>
      </c>
    </row>
    <row r="83" spans="1:16" x14ac:dyDescent="0.3">
      <c r="A83" t="s">
        <v>94</v>
      </c>
      <c r="B83" s="2">
        <v>45829</v>
      </c>
      <c r="C83" t="str" cm="1">
        <f t="array" aca="1" ref="C83" ca="1">INDEX({"North","South","East","West"}, RANDBETWEEN(1,4))</f>
        <v>West</v>
      </c>
      <c r="D83" t="str" cm="1">
        <f t="array" aca="1" ref="D83" ca="1">INDEX({"Alan","Bob","Charlie","David"},RANDBETWEEN(1,4))</f>
        <v>Charlie</v>
      </c>
      <c r="E83" t="str" cm="1">
        <f t="array" aca="1" ref="E83" ca="1">INDEX({"Laptop","Smartphone","Smartwatch","Tablet","PC","Headphones"}, RANDBETWEEN(1,6))</f>
        <v>Smartwatch</v>
      </c>
      <c r="F83" t="str" cm="1">
        <f t="array" aca="1" ref="F83" ca="1">_xlfn.SWITCH(E83,
 "Laptop","Computing",
 "Smartphone","Electronics",
 "Tablet","Electronics",
 "Smartwatch","Wearables",
 "PC","Computing",
 "Headphones","Accessories",
 "Unknown")</f>
        <v>Wearables</v>
      </c>
      <c r="G83">
        <f t="shared" ca="1" si="9"/>
        <v>2</v>
      </c>
      <c r="H83">
        <f t="shared" ca="1" si="10"/>
        <v>417</v>
      </c>
      <c r="I83">
        <f t="shared" ca="1" si="11"/>
        <v>834</v>
      </c>
      <c r="J83" s="5">
        <f t="shared" ca="1" si="12"/>
        <v>583.79999999999995</v>
      </c>
      <c r="K83" s="5">
        <f t="shared" ca="1" si="13"/>
        <v>250.20000000000005</v>
      </c>
      <c r="L83" s="5">
        <f t="shared" ca="1" si="14"/>
        <v>3177</v>
      </c>
      <c r="M83" t="str">
        <f t="shared" si="15"/>
        <v>Jun</v>
      </c>
      <c r="N83" t="str">
        <f t="shared" si="16"/>
        <v>2025</v>
      </c>
      <c r="O83" s="3">
        <f t="shared" ca="1" si="17"/>
        <v>0.30000000000000004</v>
      </c>
      <c r="P83" s="3">
        <f ca="1">Table1[[#This Row],[Sales]]/Table1[[#This Row],[Target]]</f>
        <v>0.26251180358829085</v>
      </c>
    </row>
    <row r="84" spans="1:16" x14ac:dyDescent="0.3">
      <c r="A84" t="s">
        <v>95</v>
      </c>
      <c r="B84" s="2">
        <v>45830</v>
      </c>
      <c r="C84" t="str" cm="1">
        <f t="array" aca="1" ref="C84" ca="1">INDEX({"North","South","East","West"}, RANDBETWEEN(1,4))</f>
        <v>South</v>
      </c>
      <c r="D84" t="str" cm="1">
        <f t="array" aca="1" ref="D84" ca="1">INDEX({"Alan","Bob","Charlie","David"},RANDBETWEEN(1,4))</f>
        <v>David</v>
      </c>
      <c r="E84" t="str" cm="1">
        <f t="array" aca="1" ref="E84" ca="1">INDEX({"Laptop","Smartphone","Smartwatch","Tablet","PC","Headphones"}, RANDBETWEEN(1,6))</f>
        <v>Smartwatch</v>
      </c>
      <c r="F84" t="str" cm="1">
        <f t="array" aca="1" ref="F84" ca="1">_xlfn.SWITCH(E84,
 "Laptop","Computing",
 "Smartphone","Electronics",
 "Tablet","Electronics",
 "Smartwatch","Wearables",
 "PC","Computing",
 "Headphones","Accessories",
 "Unknown")</f>
        <v>Wearables</v>
      </c>
      <c r="G84">
        <f t="shared" ca="1" si="9"/>
        <v>8</v>
      </c>
      <c r="H84">
        <f t="shared" ca="1" si="10"/>
        <v>913</v>
      </c>
      <c r="I84">
        <f t="shared" ca="1" si="11"/>
        <v>7304</v>
      </c>
      <c r="J84" s="5">
        <f t="shared" ca="1" si="12"/>
        <v>5112.7999999999993</v>
      </c>
      <c r="K84" s="5">
        <f t="shared" ca="1" si="13"/>
        <v>2191.2000000000007</v>
      </c>
      <c r="L84" s="5">
        <f t="shared" ca="1" si="14"/>
        <v>2552</v>
      </c>
      <c r="M84" t="str">
        <f t="shared" si="15"/>
        <v>Jun</v>
      </c>
      <c r="N84" t="str">
        <f t="shared" si="16"/>
        <v>2025</v>
      </c>
      <c r="O84" s="3">
        <f t="shared" ca="1" si="17"/>
        <v>0.3000000000000001</v>
      </c>
      <c r="P84" s="3">
        <f ca="1">Table1[[#This Row],[Sales]]/Table1[[#This Row],[Target]]</f>
        <v>2.8620689655172415</v>
      </c>
    </row>
    <row r="85" spans="1:16" x14ac:dyDescent="0.3">
      <c r="A85" t="s">
        <v>96</v>
      </c>
      <c r="B85" s="2">
        <v>45831</v>
      </c>
      <c r="C85" t="str" cm="1">
        <f t="array" aca="1" ref="C85" ca="1">INDEX({"North","South","East","West"}, RANDBETWEEN(1,4))</f>
        <v>South</v>
      </c>
      <c r="D85" t="str" cm="1">
        <f t="array" aca="1" ref="D85" ca="1">INDEX({"Alan","Bob","Charlie","David"},RANDBETWEEN(1,4))</f>
        <v>Charlie</v>
      </c>
      <c r="E85" t="str" cm="1">
        <f t="array" aca="1" ref="E85" ca="1">INDEX({"Laptop","Smartphone","Smartwatch","Tablet","PC","Headphones"}, RANDBETWEEN(1,6))</f>
        <v>Headphones</v>
      </c>
      <c r="F85" t="str" cm="1">
        <f t="array" aca="1" ref="F85" ca="1">_xlfn.SWITCH(E85,
 "Laptop","Computing",
 "Smartphone","Electronics",
 "Tablet","Electronics",
 "Smartwatch","Wearables",
 "PC","Computing",
 "Headphones","Accessories",
 "Unknown")</f>
        <v>Accessories</v>
      </c>
      <c r="G85">
        <f t="shared" ca="1" si="9"/>
        <v>8</v>
      </c>
      <c r="H85">
        <f t="shared" ca="1" si="10"/>
        <v>900</v>
      </c>
      <c r="I85">
        <f t="shared" ca="1" si="11"/>
        <v>7200</v>
      </c>
      <c r="J85" s="5">
        <f t="shared" ca="1" si="12"/>
        <v>5040</v>
      </c>
      <c r="K85" s="5">
        <f t="shared" ca="1" si="13"/>
        <v>2160</v>
      </c>
      <c r="L85" s="5">
        <f t="shared" ca="1" si="14"/>
        <v>2951</v>
      </c>
      <c r="M85" t="str">
        <f t="shared" si="15"/>
        <v>Jun</v>
      </c>
      <c r="N85" t="str">
        <f t="shared" si="16"/>
        <v>2025</v>
      </c>
      <c r="O85" s="3">
        <f t="shared" ca="1" si="17"/>
        <v>0.3</v>
      </c>
      <c r="P85" s="3">
        <f ca="1">Table1[[#This Row],[Sales]]/Table1[[#This Row],[Target]]</f>
        <v>2.4398508980006777</v>
      </c>
    </row>
    <row r="86" spans="1:16" x14ac:dyDescent="0.3">
      <c r="A86" t="s">
        <v>97</v>
      </c>
      <c r="B86" s="2">
        <v>45832</v>
      </c>
      <c r="C86" t="str" cm="1">
        <f t="array" aca="1" ref="C86" ca="1">INDEX({"North","South","East","West"}, RANDBETWEEN(1,4))</f>
        <v>North</v>
      </c>
      <c r="D86" t="str" cm="1">
        <f t="array" aca="1" ref="D86" ca="1">INDEX({"Alan","Bob","Charlie","David"},RANDBETWEEN(1,4))</f>
        <v>Alan</v>
      </c>
      <c r="E86" t="str" cm="1">
        <f t="array" aca="1" ref="E86" ca="1">INDEX({"Laptop","Smartphone","Smartwatch","Tablet","PC","Headphones"}, RANDBETWEEN(1,6))</f>
        <v>Headphones</v>
      </c>
      <c r="F86" t="str" cm="1">
        <f t="array" aca="1" ref="F86" ca="1">_xlfn.SWITCH(E86,
 "Laptop","Computing",
 "Smartphone","Electronics",
 "Tablet","Electronics",
 "Smartwatch","Wearables",
 "PC","Computing",
 "Headphones","Accessories",
 "Unknown")</f>
        <v>Accessories</v>
      </c>
      <c r="G86">
        <f t="shared" ca="1" si="9"/>
        <v>4</v>
      </c>
      <c r="H86">
        <f t="shared" ca="1" si="10"/>
        <v>583</v>
      </c>
      <c r="I86">
        <f t="shared" ca="1" si="11"/>
        <v>2332</v>
      </c>
      <c r="J86" s="5">
        <f t="shared" ca="1" si="12"/>
        <v>1632.3999999999999</v>
      </c>
      <c r="K86" s="5">
        <f t="shared" ca="1" si="13"/>
        <v>699.60000000000014</v>
      </c>
      <c r="L86" s="5">
        <f t="shared" ca="1" si="14"/>
        <v>3192</v>
      </c>
      <c r="M86" t="str">
        <f t="shared" si="15"/>
        <v>Jun</v>
      </c>
      <c r="N86" t="str">
        <f t="shared" si="16"/>
        <v>2025</v>
      </c>
      <c r="O86" s="3">
        <f t="shared" ca="1" si="17"/>
        <v>0.30000000000000004</v>
      </c>
      <c r="P86" s="3">
        <f ca="1">Table1[[#This Row],[Sales]]/Table1[[#This Row],[Target]]</f>
        <v>0.73057644110275688</v>
      </c>
    </row>
    <row r="87" spans="1:16" x14ac:dyDescent="0.3">
      <c r="A87" t="s">
        <v>98</v>
      </c>
      <c r="B87" s="2">
        <v>45833</v>
      </c>
      <c r="C87" t="str" cm="1">
        <f t="array" aca="1" ref="C87" ca="1">INDEX({"North","South","East","West"}, RANDBETWEEN(1,4))</f>
        <v>East</v>
      </c>
      <c r="D87" t="str" cm="1">
        <f t="array" aca="1" ref="D87" ca="1">INDEX({"Alan","Bob","Charlie","David"},RANDBETWEEN(1,4))</f>
        <v>Alan</v>
      </c>
      <c r="E87" t="str" cm="1">
        <f t="array" aca="1" ref="E87" ca="1">INDEX({"Laptop","Smartphone","Smartwatch","Tablet","PC","Headphones"}, RANDBETWEEN(1,6))</f>
        <v>Smartwatch</v>
      </c>
      <c r="F87" t="str" cm="1">
        <f t="array" aca="1" ref="F87" ca="1">_xlfn.SWITCH(E87,
 "Laptop","Computing",
 "Smartphone","Electronics",
 "Tablet","Electronics",
 "Smartwatch","Wearables",
 "PC","Computing",
 "Headphones","Accessories",
 "Unknown")</f>
        <v>Wearables</v>
      </c>
      <c r="G87">
        <f t="shared" ca="1" si="9"/>
        <v>10</v>
      </c>
      <c r="H87">
        <f t="shared" ca="1" si="10"/>
        <v>314</v>
      </c>
      <c r="I87">
        <f t="shared" ca="1" si="11"/>
        <v>3140</v>
      </c>
      <c r="J87" s="5">
        <f t="shared" ca="1" si="12"/>
        <v>2198</v>
      </c>
      <c r="K87" s="5">
        <f t="shared" ca="1" si="13"/>
        <v>942</v>
      </c>
      <c r="L87" s="5">
        <f t="shared" ca="1" si="14"/>
        <v>4602</v>
      </c>
      <c r="M87" t="str">
        <f t="shared" si="15"/>
        <v>Jun</v>
      </c>
      <c r="N87" t="str">
        <f t="shared" si="16"/>
        <v>2025</v>
      </c>
      <c r="O87" s="3">
        <f t="shared" ca="1" si="17"/>
        <v>0.3</v>
      </c>
      <c r="P87" s="3">
        <f ca="1">Table1[[#This Row],[Sales]]/Table1[[#This Row],[Target]]</f>
        <v>0.68231203824424158</v>
      </c>
    </row>
    <row r="88" spans="1:16" x14ac:dyDescent="0.3">
      <c r="A88" t="s">
        <v>99</v>
      </c>
      <c r="B88" s="2">
        <v>45834</v>
      </c>
      <c r="C88" t="str" cm="1">
        <f t="array" aca="1" ref="C88" ca="1">INDEX({"North","South","East","West"}, RANDBETWEEN(1,4))</f>
        <v>North</v>
      </c>
      <c r="D88" t="str" cm="1">
        <f t="array" aca="1" ref="D88" ca="1">INDEX({"Alan","Bob","Charlie","David"},RANDBETWEEN(1,4))</f>
        <v>David</v>
      </c>
      <c r="E88" t="str" cm="1">
        <f t="array" aca="1" ref="E88" ca="1">INDEX({"Laptop","Smartphone","Smartwatch","Tablet","PC","Headphones"}, RANDBETWEEN(1,6))</f>
        <v>Headphones</v>
      </c>
      <c r="F88" t="str" cm="1">
        <f t="array" aca="1" ref="F88" ca="1">_xlfn.SWITCH(E88,
 "Laptop","Computing",
 "Smartphone","Electronics",
 "Tablet","Electronics",
 "Smartwatch","Wearables",
 "PC","Computing",
 "Headphones","Accessories",
 "Unknown")</f>
        <v>Accessories</v>
      </c>
      <c r="G88">
        <f t="shared" ca="1" si="9"/>
        <v>7</v>
      </c>
      <c r="H88">
        <f t="shared" ca="1" si="10"/>
        <v>722</v>
      </c>
      <c r="I88">
        <f t="shared" ca="1" si="11"/>
        <v>5054</v>
      </c>
      <c r="J88" s="5">
        <f t="shared" ca="1" si="12"/>
        <v>3537.7999999999997</v>
      </c>
      <c r="K88" s="5">
        <f t="shared" ca="1" si="13"/>
        <v>1516.2000000000003</v>
      </c>
      <c r="L88" s="5">
        <f t="shared" ca="1" si="14"/>
        <v>3646</v>
      </c>
      <c r="M88" t="str">
        <f t="shared" si="15"/>
        <v>Jun</v>
      </c>
      <c r="N88" t="str">
        <f t="shared" si="16"/>
        <v>2025</v>
      </c>
      <c r="O88" s="3">
        <f t="shared" ca="1" si="17"/>
        <v>0.30000000000000004</v>
      </c>
      <c r="P88" s="3">
        <f ca="1">Table1[[#This Row],[Sales]]/Table1[[#This Row],[Target]]</f>
        <v>1.3861766319253976</v>
      </c>
    </row>
    <row r="89" spans="1:16" x14ac:dyDescent="0.3">
      <c r="A89" t="s">
        <v>100</v>
      </c>
      <c r="B89" s="2">
        <v>45835</v>
      </c>
      <c r="C89" t="str" cm="1">
        <f t="array" aca="1" ref="C89" ca="1">INDEX({"North","South","East","West"}, RANDBETWEEN(1,4))</f>
        <v>East</v>
      </c>
      <c r="D89" t="str" cm="1">
        <f t="array" aca="1" ref="D89" ca="1">INDEX({"Alan","Bob","Charlie","David"},RANDBETWEEN(1,4))</f>
        <v>David</v>
      </c>
      <c r="E89" t="str" cm="1">
        <f t="array" aca="1" ref="E89" ca="1">INDEX({"Laptop","Smartphone","Smartwatch","Tablet","PC","Headphones"}, RANDBETWEEN(1,6))</f>
        <v>PC</v>
      </c>
      <c r="F89" t="str" cm="1">
        <f t="array" aca="1" ref="F89" ca="1">_xlfn.SWITCH(E89,
 "Laptop","Computing",
 "Smartphone","Electronics",
 "Tablet","Electronics",
 "Smartwatch","Wearables",
 "PC","Computing",
 "Headphones","Accessories",
 "Unknown")</f>
        <v>Computing</v>
      </c>
      <c r="G89">
        <f t="shared" ca="1" si="9"/>
        <v>10</v>
      </c>
      <c r="H89">
        <f t="shared" ca="1" si="10"/>
        <v>267</v>
      </c>
      <c r="I89">
        <f t="shared" ca="1" si="11"/>
        <v>2670</v>
      </c>
      <c r="J89" s="5">
        <f t="shared" ca="1" si="12"/>
        <v>1868.9999999999998</v>
      </c>
      <c r="K89" s="5">
        <f t="shared" ca="1" si="13"/>
        <v>801.00000000000023</v>
      </c>
      <c r="L89" s="5">
        <f t="shared" ca="1" si="14"/>
        <v>3126</v>
      </c>
      <c r="M89" t="str">
        <f t="shared" si="15"/>
        <v>Jun</v>
      </c>
      <c r="N89" t="str">
        <f t="shared" si="16"/>
        <v>2025</v>
      </c>
      <c r="O89" s="3">
        <f t="shared" ca="1" si="17"/>
        <v>0.3000000000000001</v>
      </c>
      <c r="P89" s="3">
        <f ca="1">Table1[[#This Row],[Sales]]/Table1[[#This Row],[Target]]</f>
        <v>0.85412667946257192</v>
      </c>
    </row>
    <row r="90" spans="1:16" x14ac:dyDescent="0.3">
      <c r="A90" t="s">
        <v>101</v>
      </c>
      <c r="B90" s="2">
        <v>45836</v>
      </c>
      <c r="C90" t="str" cm="1">
        <f t="array" aca="1" ref="C90" ca="1">INDEX({"North","South","East","West"}, RANDBETWEEN(1,4))</f>
        <v>East</v>
      </c>
      <c r="D90" t="str" cm="1">
        <f t="array" aca="1" ref="D90" ca="1">INDEX({"Alan","Bob","Charlie","David"},RANDBETWEEN(1,4))</f>
        <v>Charlie</v>
      </c>
      <c r="E90" t="str" cm="1">
        <f t="array" aca="1" ref="E90" ca="1">INDEX({"Laptop","Smartphone","Smartwatch","Tablet","PC","Headphones"}, RANDBETWEEN(1,6))</f>
        <v>Laptop</v>
      </c>
      <c r="F90" t="str" cm="1">
        <f t="array" aca="1" ref="F90" ca="1">_xlfn.SWITCH(E90,
 "Laptop","Computing",
 "Smartphone","Electronics",
 "Tablet","Electronics",
 "Smartwatch","Wearables",
 "PC","Computing",
 "Headphones","Accessories",
 "Unknown")</f>
        <v>Computing</v>
      </c>
      <c r="G90">
        <f t="shared" ca="1" si="9"/>
        <v>4</v>
      </c>
      <c r="H90">
        <f t="shared" ca="1" si="10"/>
        <v>797</v>
      </c>
      <c r="I90">
        <f t="shared" ca="1" si="11"/>
        <v>3188</v>
      </c>
      <c r="J90" s="5">
        <f t="shared" ca="1" si="12"/>
        <v>2231.6</v>
      </c>
      <c r="K90" s="5">
        <f t="shared" ca="1" si="13"/>
        <v>956.40000000000009</v>
      </c>
      <c r="L90" s="5">
        <f t="shared" ca="1" si="14"/>
        <v>3689</v>
      </c>
      <c r="M90" t="str">
        <f t="shared" si="15"/>
        <v>Jun</v>
      </c>
      <c r="N90" t="str">
        <f t="shared" si="16"/>
        <v>2025</v>
      </c>
      <c r="O90" s="3">
        <f t="shared" ca="1" si="17"/>
        <v>0.30000000000000004</v>
      </c>
      <c r="P90" s="3">
        <f ca="1">Table1[[#This Row],[Sales]]/Table1[[#This Row],[Target]]</f>
        <v>0.86419083762537274</v>
      </c>
    </row>
    <row r="91" spans="1:16" x14ac:dyDescent="0.3">
      <c r="A91" t="s">
        <v>102</v>
      </c>
      <c r="B91" s="2">
        <v>45837</v>
      </c>
      <c r="C91" t="str" cm="1">
        <f t="array" aca="1" ref="C91" ca="1">INDEX({"North","South","East","West"}, RANDBETWEEN(1,4))</f>
        <v>West</v>
      </c>
      <c r="D91" t="str" cm="1">
        <f t="array" aca="1" ref="D91" ca="1">INDEX({"Alan","Bob","Charlie","David"},RANDBETWEEN(1,4))</f>
        <v>Charlie</v>
      </c>
      <c r="E91" t="str" cm="1">
        <f t="array" aca="1" ref="E91" ca="1">INDEX({"Laptop","Smartphone","Smartwatch","Tablet","PC","Headphones"}, RANDBETWEEN(1,6))</f>
        <v>PC</v>
      </c>
      <c r="F91" t="str" cm="1">
        <f t="array" aca="1" ref="F91" ca="1">_xlfn.SWITCH(E91,
 "Laptop","Computing",
 "Smartphone","Electronics",
 "Tablet","Electronics",
 "Smartwatch","Wearables",
 "PC","Computing",
 "Headphones","Accessories",
 "Unknown")</f>
        <v>Computing</v>
      </c>
      <c r="G91">
        <f t="shared" ca="1" si="9"/>
        <v>9</v>
      </c>
      <c r="H91">
        <f t="shared" ca="1" si="10"/>
        <v>505</v>
      </c>
      <c r="I91">
        <f t="shared" ca="1" si="11"/>
        <v>4545</v>
      </c>
      <c r="J91" s="5">
        <f t="shared" ca="1" si="12"/>
        <v>3181.5</v>
      </c>
      <c r="K91" s="5">
        <f t="shared" ca="1" si="13"/>
        <v>1363.5</v>
      </c>
      <c r="L91" s="5">
        <f t="shared" ca="1" si="14"/>
        <v>3374</v>
      </c>
      <c r="M91" t="str">
        <f t="shared" si="15"/>
        <v>Jun</v>
      </c>
      <c r="N91" t="str">
        <f t="shared" si="16"/>
        <v>2025</v>
      </c>
      <c r="O91" s="3">
        <f t="shared" ca="1" si="17"/>
        <v>0.3</v>
      </c>
      <c r="P91" s="3">
        <f ca="1">Table1[[#This Row],[Sales]]/Table1[[#This Row],[Target]]</f>
        <v>1.3470657972732663</v>
      </c>
    </row>
    <row r="92" spans="1:16" x14ac:dyDescent="0.3">
      <c r="A92" t="s">
        <v>103</v>
      </c>
      <c r="B92" s="2">
        <v>45838</v>
      </c>
      <c r="C92" t="str" cm="1">
        <f t="array" aca="1" ref="C92" ca="1">INDEX({"North","South","East","West"}, RANDBETWEEN(1,4))</f>
        <v>West</v>
      </c>
      <c r="D92" t="str" cm="1">
        <f t="array" aca="1" ref="D92" ca="1">INDEX({"Alan","Bob","Charlie","David"},RANDBETWEEN(1,4))</f>
        <v>Charlie</v>
      </c>
      <c r="E92" t="str" cm="1">
        <f t="array" aca="1" ref="E92" ca="1">INDEX({"Laptop","Smartphone","Smartwatch","Tablet","PC","Headphones"}, RANDBETWEEN(1,6))</f>
        <v>Laptop</v>
      </c>
      <c r="F92" t="str" cm="1">
        <f t="array" aca="1" ref="F92" ca="1">_xlfn.SWITCH(E92,
 "Laptop","Computing",
 "Smartphone","Electronics",
 "Tablet","Electronics",
 "Smartwatch","Wearables",
 "PC","Computing",
 "Headphones","Accessories",
 "Unknown")</f>
        <v>Computing</v>
      </c>
      <c r="G92">
        <f t="shared" ca="1" si="9"/>
        <v>10</v>
      </c>
      <c r="H92">
        <f t="shared" ca="1" si="10"/>
        <v>932</v>
      </c>
      <c r="I92">
        <f t="shared" ca="1" si="11"/>
        <v>9320</v>
      </c>
      <c r="J92" s="5">
        <f t="shared" ca="1" si="12"/>
        <v>6524</v>
      </c>
      <c r="K92" s="5">
        <f t="shared" ca="1" si="13"/>
        <v>2796</v>
      </c>
      <c r="L92" s="5">
        <f t="shared" ca="1" si="14"/>
        <v>3678</v>
      </c>
      <c r="M92" t="str">
        <f t="shared" si="15"/>
        <v>Jun</v>
      </c>
      <c r="N92" t="str">
        <f t="shared" si="16"/>
        <v>2025</v>
      </c>
      <c r="O92" s="3">
        <f t="shared" ca="1" si="17"/>
        <v>0.3</v>
      </c>
      <c r="P92" s="3">
        <f ca="1">Table1[[#This Row],[Sales]]/Table1[[#This Row],[Target]]</f>
        <v>2.5339858618814572</v>
      </c>
    </row>
    <row r="93" spans="1:16" x14ac:dyDescent="0.3">
      <c r="A93" t="s">
        <v>104</v>
      </c>
      <c r="B93" s="2">
        <v>45839</v>
      </c>
      <c r="C93" t="str" cm="1">
        <f t="array" aca="1" ref="C93" ca="1">INDEX({"North","South","East","West"}, RANDBETWEEN(1,4))</f>
        <v>South</v>
      </c>
      <c r="D93" t="str" cm="1">
        <f t="array" aca="1" ref="D93" ca="1">INDEX({"Alan","Bob","Charlie","David"},RANDBETWEEN(1,4))</f>
        <v>Charlie</v>
      </c>
      <c r="E93" t="str" cm="1">
        <f t="array" aca="1" ref="E93" ca="1">INDEX({"Laptop","Smartphone","Smartwatch","Tablet","PC","Headphones"}, RANDBETWEEN(1,6))</f>
        <v>Headphones</v>
      </c>
      <c r="F93" t="str" cm="1">
        <f t="array" aca="1" ref="F93" ca="1">_xlfn.SWITCH(E93,
 "Laptop","Computing",
 "Smartphone","Electronics",
 "Tablet","Electronics",
 "Smartwatch","Wearables",
 "PC","Computing",
 "Headphones","Accessories",
 "Unknown")</f>
        <v>Accessories</v>
      </c>
      <c r="G93">
        <f t="shared" ca="1" si="9"/>
        <v>4</v>
      </c>
      <c r="H93">
        <f t="shared" ca="1" si="10"/>
        <v>311</v>
      </c>
      <c r="I93">
        <f t="shared" ca="1" si="11"/>
        <v>1244</v>
      </c>
      <c r="J93" s="5">
        <f t="shared" ca="1" si="12"/>
        <v>870.8</v>
      </c>
      <c r="K93" s="5">
        <f t="shared" ca="1" si="13"/>
        <v>373.20000000000005</v>
      </c>
      <c r="L93" s="5">
        <f t="shared" ca="1" si="14"/>
        <v>4964</v>
      </c>
      <c r="M93" t="str">
        <f t="shared" si="15"/>
        <v>Jul</v>
      </c>
      <c r="N93" t="str">
        <f t="shared" si="16"/>
        <v>2025</v>
      </c>
      <c r="O93" s="3">
        <f t="shared" ca="1" si="17"/>
        <v>0.30000000000000004</v>
      </c>
      <c r="P93" s="3">
        <f ca="1">Table1[[#This Row],[Sales]]/Table1[[#This Row],[Target]]</f>
        <v>0.25060435132957293</v>
      </c>
    </row>
    <row r="94" spans="1:16" x14ac:dyDescent="0.3">
      <c r="A94" t="s">
        <v>105</v>
      </c>
      <c r="B94" s="2">
        <v>45840</v>
      </c>
      <c r="C94" t="str" cm="1">
        <f t="array" aca="1" ref="C94" ca="1">INDEX({"North","South","East","West"}, RANDBETWEEN(1,4))</f>
        <v>North</v>
      </c>
      <c r="D94" t="str" cm="1">
        <f t="array" aca="1" ref="D94" ca="1">INDEX({"Alan","Bob","Charlie","David"},RANDBETWEEN(1,4))</f>
        <v>Bob</v>
      </c>
      <c r="E94" t="str" cm="1">
        <f t="array" aca="1" ref="E94" ca="1">INDEX({"Laptop","Smartphone","Smartwatch","Tablet","PC","Headphones"}, RANDBETWEEN(1,6))</f>
        <v>Smartphone</v>
      </c>
      <c r="F94" t="str" cm="1">
        <f t="array" aca="1" ref="F94" ca="1">_xlfn.SWITCH(E94,
 "Laptop","Computing",
 "Smartphone","Electronics",
 "Tablet","Electronics",
 "Smartwatch","Wearables",
 "PC","Computing",
 "Headphones","Accessories",
 "Unknown")</f>
        <v>Electronics</v>
      </c>
      <c r="G94">
        <f t="shared" ca="1" si="9"/>
        <v>4</v>
      </c>
      <c r="H94">
        <f t="shared" ca="1" si="10"/>
        <v>279</v>
      </c>
      <c r="I94">
        <f t="shared" ca="1" si="11"/>
        <v>1116</v>
      </c>
      <c r="J94" s="5">
        <f t="shared" ca="1" si="12"/>
        <v>781.19999999999993</v>
      </c>
      <c r="K94" s="5">
        <f t="shared" ca="1" si="13"/>
        <v>334.80000000000007</v>
      </c>
      <c r="L94" s="5">
        <f t="shared" ca="1" si="14"/>
        <v>3116</v>
      </c>
      <c r="M94" t="str">
        <f t="shared" si="15"/>
        <v>Jul</v>
      </c>
      <c r="N94" t="str">
        <f t="shared" si="16"/>
        <v>2025</v>
      </c>
      <c r="O94" s="3">
        <f t="shared" ca="1" si="17"/>
        <v>0.30000000000000004</v>
      </c>
      <c r="P94" s="3">
        <f ca="1">Table1[[#This Row],[Sales]]/Table1[[#This Row],[Target]]</f>
        <v>0.35815147625160459</v>
      </c>
    </row>
    <row r="95" spans="1:16" x14ac:dyDescent="0.3">
      <c r="A95" t="s">
        <v>106</v>
      </c>
      <c r="B95" s="2">
        <v>45841</v>
      </c>
      <c r="C95" t="str" cm="1">
        <f t="array" aca="1" ref="C95" ca="1">INDEX({"North","South","East","West"}, RANDBETWEEN(1,4))</f>
        <v>North</v>
      </c>
      <c r="D95" t="str" cm="1">
        <f t="array" aca="1" ref="D95" ca="1">INDEX({"Alan","Bob","Charlie","David"},RANDBETWEEN(1,4))</f>
        <v>Charlie</v>
      </c>
      <c r="E95" t="str" cm="1">
        <f t="array" aca="1" ref="E95" ca="1">INDEX({"Laptop","Smartphone","Smartwatch","Tablet","PC","Headphones"}, RANDBETWEEN(1,6))</f>
        <v>PC</v>
      </c>
      <c r="F95" t="str" cm="1">
        <f t="array" aca="1" ref="F95" ca="1">_xlfn.SWITCH(E95,
 "Laptop","Computing",
 "Smartphone","Electronics",
 "Tablet","Electronics",
 "Smartwatch","Wearables",
 "PC","Computing",
 "Headphones","Accessories",
 "Unknown")</f>
        <v>Computing</v>
      </c>
      <c r="G95">
        <f t="shared" ca="1" si="9"/>
        <v>9</v>
      </c>
      <c r="H95">
        <f t="shared" ca="1" si="10"/>
        <v>271</v>
      </c>
      <c r="I95">
        <f t="shared" ca="1" si="11"/>
        <v>2439</v>
      </c>
      <c r="J95" s="5">
        <f t="shared" ca="1" si="12"/>
        <v>1707.3</v>
      </c>
      <c r="K95" s="5">
        <f t="shared" ca="1" si="13"/>
        <v>731.7</v>
      </c>
      <c r="L95" s="5">
        <f t="shared" ca="1" si="14"/>
        <v>3472</v>
      </c>
      <c r="M95" t="str">
        <f t="shared" si="15"/>
        <v>Jul</v>
      </c>
      <c r="N95" t="str">
        <f t="shared" si="16"/>
        <v>2025</v>
      </c>
      <c r="O95" s="3">
        <f t="shared" ca="1" si="17"/>
        <v>0.30000000000000004</v>
      </c>
      <c r="P95" s="3">
        <f ca="1">Table1[[#This Row],[Sales]]/Table1[[#This Row],[Target]]</f>
        <v>0.70247695852534564</v>
      </c>
    </row>
    <row r="96" spans="1:16" x14ac:dyDescent="0.3">
      <c r="A96" t="s">
        <v>107</v>
      </c>
      <c r="B96" s="2">
        <v>45842</v>
      </c>
      <c r="C96" t="str" cm="1">
        <f t="array" aca="1" ref="C96" ca="1">INDEX({"North","South","East","West"}, RANDBETWEEN(1,4))</f>
        <v>North</v>
      </c>
      <c r="D96" t="str" cm="1">
        <f t="array" aca="1" ref="D96" ca="1">INDEX({"Alan","Bob","Charlie","David"},RANDBETWEEN(1,4))</f>
        <v>David</v>
      </c>
      <c r="E96" t="str" cm="1">
        <f t="array" aca="1" ref="E96" ca="1">INDEX({"Laptop","Smartphone","Smartwatch","Tablet","PC","Headphones"}, RANDBETWEEN(1,6))</f>
        <v>Tablet</v>
      </c>
      <c r="F96" t="str" cm="1">
        <f t="array" aca="1" ref="F96" ca="1">_xlfn.SWITCH(E96,
 "Laptop","Computing",
 "Smartphone","Electronics",
 "Tablet","Electronics",
 "Smartwatch","Wearables",
 "PC","Computing",
 "Headphones","Accessories",
 "Unknown")</f>
        <v>Electronics</v>
      </c>
      <c r="G96">
        <f t="shared" ca="1" si="9"/>
        <v>7</v>
      </c>
      <c r="H96">
        <f t="shared" ca="1" si="10"/>
        <v>134</v>
      </c>
      <c r="I96">
        <f t="shared" ca="1" si="11"/>
        <v>938</v>
      </c>
      <c r="J96" s="5">
        <f t="shared" ca="1" si="12"/>
        <v>656.59999999999991</v>
      </c>
      <c r="K96" s="5">
        <f t="shared" ca="1" si="13"/>
        <v>281.40000000000009</v>
      </c>
      <c r="L96" s="5">
        <f t="shared" ca="1" si="14"/>
        <v>4706</v>
      </c>
      <c r="M96" t="str">
        <f t="shared" si="15"/>
        <v>Jul</v>
      </c>
      <c r="N96" t="str">
        <f t="shared" si="16"/>
        <v>2025</v>
      </c>
      <c r="O96" s="3">
        <f t="shared" ca="1" si="17"/>
        <v>0.3000000000000001</v>
      </c>
      <c r="P96" s="3">
        <f ca="1">Table1[[#This Row],[Sales]]/Table1[[#This Row],[Target]]</f>
        <v>0.19932001699957502</v>
      </c>
    </row>
    <row r="97" spans="1:16" x14ac:dyDescent="0.3">
      <c r="A97" t="s">
        <v>108</v>
      </c>
      <c r="B97" s="2">
        <v>45843</v>
      </c>
      <c r="C97" t="str" cm="1">
        <f t="array" aca="1" ref="C97" ca="1">INDEX({"North","South","East","West"}, RANDBETWEEN(1,4))</f>
        <v>North</v>
      </c>
      <c r="D97" t="str" cm="1">
        <f t="array" aca="1" ref="D97" ca="1">INDEX({"Alan","Bob","Charlie","David"},RANDBETWEEN(1,4))</f>
        <v>Charlie</v>
      </c>
      <c r="E97" t="str" cm="1">
        <f t="array" aca="1" ref="E97" ca="1">INDEX({"Laptop","Smartphone","Smartwatch","Tablet","PC","Headphones"}, RANDBETWEEN(1,6))</f>
        <v>Smartphone</v>
      </c>
      <c r="F97" t="str" cm="1">
        <f t="array" aca="1" ref="F97" ca="1">_xlfn.SWITCH(E97,
 "Laptop","Computing",
 "Smartphone","Electronics",
 "Tablet","Electronics",
 "Smartwatch","Wearables",
 "PC","Computing",
 "Headphones","Accessories",
 "Unknown")</f>
        <v>Electronics</v>
      </c>
      <c r="G97">
        <f t="shared" ca="1" si="9"/>
        <v>3</v>
      </c>
      <c r="H97">
        <f t="shared" ca="1" si="10"/>
        <v>538</v>
      </c>
      <c r="I97">
        <f t="shared" ca="1" si="11"/>
        <v>1614</v>
      </c>
      <c r="J97" s="5">
        <f t="shared" ca="1" si="12"/>
        <v>1129.8</v>
      </c>
      <c r="K97" s="5">
        <f t="shared" ca="1" si="13"/>
        <v>484.20000000000005</v>
      </c>
      <c r="L97" s="5">
        <f t="shared" ca="1" si="14"/>
        <v>3330</v>
      </c>
      <c r="M97" t="str">
        <f t="shared" si="15"/>
        <v>Jul</v>
      </c>
      <c r="N97" t="str">
        <f t="shared" si="16"/>
        <v>2025</v>
      </c>
      <c r="O97" s="3">
        <f t="shared" ca="1" si="17"/>
        <v>0.30000000000000004</v>
      </c>
      <c r="P97" s="3">
        <f ca="1">Table1[[#This Row],[Sales]]/Table1[[#This Row],[Target]]</f>
        <v>0.48468468468468467</v>
      </c>
    </row>
    <row r="98" spans="1:16" x14ac:dyDescent="0.3">
      <c r="A98" t="s">
        <v>109</v>
      </c>
      <c r="B98" s="2">
        <v>45844</v>
      </c>
      <c r="C98" t="str" cm="1">
        <f t="array" aca="1" ref="C98" ca="1">INDEX({"North","South","East","West"}, RANDBETWEEN(1,4))</f>
        <v>South</v>
      </c>
      <c r="D98" t="str" cm="1">
        <f t="array" aca="1" ref="D98" ca="1">INDEX({"Alan","Bob","Charlie","David"},RANDBETWEEN(1,4))</f>
        <v>Charlie</v>
      </c>
      <c r="E98" t="str" cm="1">
        <f t="array" aca="1" ref="E98" ca="1">INDEX({"Laptop","Smartphone","Smartwatch","Tablet","PC","Headphones"}, RANDBETWEEN(1,6))</f>
        <v>Headphones</v>
      </c>
      <c r="F98" t="str" cm="1">
        <f t="array" aca="1" ref="F98" ca="1">_xlfn.SWITCH(E98,
 "Laptop","Computing",
 "Smartphone","Electronics",
 "Tablet","Electronics",
 "Smartwatch","Wearables",
 "PC","Computing",
 "Headphones","Accessories",
 "Unknown")</f>
        <v>Accessories</v>
      </c>
      <c r="G98">
        <f t="shared" ca="1" si="9"/>
        <v>5</v>
      </c>
      <c r="H98">
        <f t="shared" ca="1" si="10"/>
        <v>136</v>
      </c>
      <c r="I98">
        <f t="shared" ca="1" si="11"/>
        <v>680</v>
      </c>
      <c r="J98" s="5">
        <f t="shared" ca="1" si="12"/>
        <v>475.99999999999994</v>
      </c>
      <c r="K98" s="5">
        <f t="shared" ca="1" si="13"/>
        <v>204.00000000000006</v>
      </c>
      <c r="L98" s="5">
        <f t="shared" ca="1" si="14"/>
        <v>2573</v>
      </c>
      <c r="M98" t="str">
        <f t="shared" si="15"/>
        <v>Jul</v>
      </c>
      <c r="N98" t="str">
        <f t="shared" si="16"/>
        <v>2025</v>
      </c>
      <c r="O98" s="3">
        <f t="shared" ca="1" si="17"/>
        <v>0.3000000000000001</v>
      </c>
      <c r="P98" s="3">
        <f ca="1">Table1[[#This Row],[Sales]]/Table1[[#This Row],[Target]]</f>
        <v>0.26428293820443061</v>
      </c>
    </row>
    <row r="99" spans="1:16" x14ac:dyDescent="0.3">
      <c r="A99" t="s">
        <v>110</v>
      </c>
      <c r="B99" s="2">
        <v>45845</v>
      </c>
      <c r="C99" t="str" cm="1">
        <f t="array" aca="1" ref="C99" ca="1">INDEX({"North","South","East","West"}, RANDBETWEEN(1,4))</f>
        <v>South</v>
      </c>
      <c r="D99" t="str" cm="1">
        <f t="array" aca="1" ref="D99" ca="1">INDEX({"Alan","Bob","Charlie","David"},RANDBETWEEN(1,4))</f>
        <v>Alan</v>
      </c>
      <c r="E99" t="str" cm="1">
        <f t="array" aca="1" ref="E99" ca="1">INDEX({"Laptop","Smartphone","Smartwatch","Tablet","PC","Headphones"}, RANDBETWEEN(1,6))</f>
        <v>Tablet</v>
      </c>
      <c r="F99" t="str" cm="1">
        <f t="array" aca="1" ref="F99" ca="1">_xlfn.SWITCH(E99,
 "Laptop","Computing",
 "Smartphone","Electronics",
 "Tablet","Electronics",
 "Smartwatch","Wearables",
 "PC","Computing",
 "Headphones","Accessories",
 "Unknown")</f>
        <v>Electronics</v>
      </c>
      <c r="G99">
        <f t="shared" ca="1" si="9"/>
        <v>7</v>
      </c>
      <c r="H99">
        <f t="shared" ca="1" si="10"/>
        <v>309</v>
      </c>
      <c r="I99">
        <f t="shared" ca="1" si="11"/>
        <v>2163</v>
      </c>
      <c r="J99" s="5">
        <f t="shared" ca="1" si="12"/>
        <v>1514.1</v>
      </c>
      <c r="K99" s="5">
        <f t="shared" ca="1" si="13"/>
        <v>648.90000000000009</v>
      </c>
      <c r="L99" s="5">
        <f t="shared" ca="1" si="14"/>
        <v>3858</v>
      </c>
      <c r="M99" t="str">
        <f t="shared" si="15"/>
        <v>Jul</v>
      </c>
      <c r="N99" t="str">
        <f t="shared" si="16"/>
        <v>2025</v>
      </c>
      <c r="O99" s="3">
        <f t="shared" ca="1" si="17"/>
        <v>0.30000000000000004</v>
      </c>
      <c r="P99" s="3">
        <f ca="1">Table1[[#This Row],[Sales]]/Table1[[#This Row],[Target]]</f>
        <v>0.56065318818040433</v>
      </c>
    </row>
    <row r="100" spans="1:16" x14ac:dyDescent="0.3">
      <c r="A100" t="s">
        <v>111</v>
      </c>
      <c r="B100" s="2">
        <v>45846</v>
      </c>
      <c r="C100" t="str" cm="1">
        <f t="array" aca="1" ref="C100" ca="1">INDEX({"North","South","East","West"}, RANDBETWEEN(1,4))</f>
        <v>North</v>
      </c>
      <c r="D100" t="str" cm="1">
        <f t="array" aca="1" ref="D100" ca="1">INDEX({"Alan","Bob","Charlie","David"},RANDBETWEEN(1,4))</f>
        <v>David</v>
      </c>
      <c r="E100" t="str" cm="1">
        <f t="array" aca="1" ref="E100" ca="1">INDEX({"Laptop","Smartphone","Smartwatch","Tablet","PC","Headphones"}, RANDBETWEEN(1,6))</f>
        <v>Laptop</v>
      </c>
      <c r="F100" t="str" cm="1">
        <f t="array" aca="1" ref="F100" ca="1">_xlfn.SWITCH(E100,
 "Laptop","Computing",
 "Smartphone","Electronics",
 "Tablet","Electronics",
 "Smartwatch","Wearables",
 "PC","Computing",
 "Headphones","Accessories",
 "Unknown")</f>
        <v>Computing</v>
      </c>
      <c r="G100">
        <f t="shared" ca="1" si="9"/>
        <v>8</v>
      </c>
      <c r="H100">
        <f t="shared" ca="1" si="10"/>
        <v>941</v>
      </c>
      <c r="I100">
        <f t="shared" ca="1" si="11"/>
        <v>7528</v>
      </c>
      <c r="J100" s="5">
        <f t="shared" ca="1" si="12"/>
        <v>5269.5999999999995</v>
      </c>
      <c r="K100" s="5">
        <f t="shared" ca="1" si="13"/>
        <v>2258.4000000000005</v>
      </c>
      <c r="L100" s="5">
        <f t="shared" ca="1" si="14"/>
        <v>2534</v>
      </c>
      <c r="M100" t="str">
        <f t="shared" si="15"/>
        <v>Jul</v>
      </c>
      <c r="N100" t="str">
        <f t="shared" si="16"/>
        <v>2025</v>
      </c>
      <c r="O100" s="3">
        <f t="shared" ca="1" si="17"/>
        <v>0.3000000000000001</v>
      </c>
      <c r="P100" s="3">
        <f ca="1">Table1[[#This Row],[Sales]]/Table1[[#This Row],[Target]]</f>
        <v>2.9707971586424624</v>
      </c>
    </row>
    <row r="101" spans="1:16" x14ac:dyDescent="0.3">
      <c r="A101" t="s">
        <v>112</v>
      </c>
      <c r="B101" s="2">
        <v>45847</v>
      </c>
      <c r="C101" t="str" cm="1">
        <f t="array" aca="1" ref="C101" ca="1">INDEX({"North","South","East","West"}, RANDBETWEEN(1,4))</f>
        <v>East</v>
      </c>
      <c r="D101" t="str" cm="1">
        <f t="array" aca="1" ref="D101" ca="1">INDEX({"Alan","Bob","Charlie","David"},RANDBETWEEN(1,4))</f>
        <v>Charlie</v>
      </c>
      <c r="E101" t="str" cm="1">
        <f t="array" aca="1" ref="E101" ca="1">INDEX({"Laptop","Smartphone","Smartwatch","Tablet","PC","Headphones"}, RANDBETWEEN(1,6))</f>
        <v>Headphones</v>
      </c>
      <c r="F101" t="str" cm="1">
        <f t="array" aca="1" ref="F101" ca="1">_xlfn.SWITCH(E101,
 "Laptop","Computing",
 "Smartphone","Electronics",
 "Tablet","Electronics",
 "Smartwatch","Wearables",
 "PC","Computing",
 "Headphones","Accessories",
 "Unknown")</f>
        <v>Accessories</v>
      </c>
      <c r="G101">
        <f t="shared" ca="1" si="9"/>
        <v>1</v>
      </c>
      <c r="H101">
        <f t="shared" ca="1" si="10"/>
        <v>511</v>
      </c>
      <c r="I101">
        <f t="shared" ca="1" si="11"/>
        <v>511</v>
      </c>
      <c r="J101" s="5">
        <f t="shared" ca="1" si="12"/>
        <v>357.7</v>
      </c>
      <c r="K101" s="5">
        <f t="shared" ca="1" si="13"/>
        <v>153.30000000000001</v>
      </c>
      <c r="L101" s="5">
        <f t="shared" ca="1" si="14"/>
        <v>4758</v>
      </c>
      <c r="M101" t="str">
        <f t="shared" si="15"/>
        <v>Jul</v>
      </c>
      <c r="N101" t="str">
        <f t="shared" si="16"/>
        <v>2025</v>
      </c>
      <c r="O101" s="3">
        <f t="shared" ca="1" si="17"/>
        <v>0.30000000000000004</v>
      </c>
      <c r="P101" s="3">
        <f ca="1">Table1[[#This Row],[Sales]]/Table1[[#This Row],[Target]]</f>
        <v>0.10739806641445986</v>
      </c>
    </row>
  </sheetData>
  <phoneticPr fontId="3" type="noConversion"/>
  <conditionalFormatting sqref="P2:P101">
    <cfRule type="cellIs" dxfId="5" priority="1" operator="greaterThan">
      <formula>1</formula>
    </cfRule>
    <cfRule type="cellIs" dxfId="4" priority="2" operator="between">
      <formula>0.8</formula>
      <formula>1</formula>
    </cfRule>
    <cfRule type="cellIs" dxfId="3" priority="3" operator="lessThan">
      <formula>0.8</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23EBB-B42E-419B-8274-FF14FF4D806F}">
  <dimension ref="A3:F11"/>
  <sheetViews>
    <sheetView zoomScale="105" workbookViewId="0">
      <selection activeCell="B7" sqref="B7"/>
    </sheetView>
  </sheetViews>
  <sheetFormatPr defaultRowHeight="14.4" x14ac:dyDescent="0.3"/>
  <cols>
    <col min="1" max="1" width="14.5546875" customWidth="1"/>
    <col min="5" max="5" width="22" customWidth="1"/>
  </cols>
  <sheetData>
    <row r="3" spans="1:6" x14ac:dyDescent="0.3">
      <c r="A3" s="14" t="s">
        <v>115</v>
      </c>
      <c r="B3" s="15">
        <f ca="1">SUM('Sales Data Set'!I:I)</f>
        <v>311043</v>
      </c>
      <c r="E3" s="21" t="s">
        <v>119</v>
      </c>
      <c r="F3" s="13">
        <f ca="1">SUM('Sales Data Set'!L:L)</f>
        <v>381187</v>
      </c>
    </row>
    <row r="5" spans="1:6" x14ac:dyDescent="0.3">
      <c r="A5" s="16" t="s">
        <v>116</v>
      </c>
      <c r="B5" s="17">
        <f ca="1">SUM(Profit)</f>
        <v>93312.9</v>
      </c>
      <c r="E5" s="22" t="s">
        <v>120</v>
      </c>
      <c r="F5" s="12">
        <f ca="1">B3/F3</f>
        <v>0.81598533003486473</v>
      </c>
    </row>
    <row r="7" spans="1:6" x14ac:dyDescent="0.3">
      <c r="A7" s="18" t="s">
        <v>117</v>
      </c>
      <c r="B7" s="11">
        <f>COUNTA(Order_ID) -1</f>
        <v>100</v>
      </c>
    </row>
    <row r="9" spans="1:6" x14ac:dyDescent="0.3">
      <c r="A9" s="19" t="s">
        <v>118</v>
      </c>
      <c r="B9" s="11">
        <f ca="1">AVERAGE('Sales Data Set'!I:I)</f>
        <v>3110.43</v>
      </c>
    </row>
    <row r="11" spans="1:6" x14ac:dyDescent="0.3">
      <c r="A11" s="20" t="s">
        <v>114</v>
      </c>
      <c r="B11" s="12">
        <f ca="1">B5/B3</f>
        <v>0.3</v>
      </c>
    </row>
  </sheetData>
  <conditionalFormatting sqref="F5">
    <cfRule type="cellIs" dxfId="2" priority="1" operator="between">
      <formula>0.5</formula>
      <formula>0.8</formula>
    </cfRule>
    <cfRule type="cellIs" dxfId="1" priority="2" operator="lessThan">
      <formula>0.5</formula>
    </cfRule>
    <cfRule type="cellIs" dxfId="0" priority="3" operator="greaterThan">
      <formula>0.8</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46388-5656-4A71-ACE5-B883CB2F157F}">
  <dimension ref="A1:E46"/>
  <sheetViews>
    <sheetView showGridLines="0" tabSelected="1" topLeftCell="A36" zoomScale="105" zoomScaleNormal="55" workbookViewId="0">
      <selection activeCell="L19" sqref="L19"/>
    </sheetView>
  </sheetViews>
  <sheetFormatPr defaultRowHeight="14.4" x14ac:dyDescent="0.3"/>
  <cols>
    <col min="1" max="1" width="12.5546875" bestFit="1" customWidth="1"/>
    <col min="2" max="2" width="11.6640625" bestFit="1" customWidth="1"/>
    <col min="3" max="3" width="12.33203125" bestFit="1" customWidth="1"/>
    <col min="5" max="5" width="42.88671875" customWidth="1"/>
  </cols>
  <sheetData>
    <row r="1" spans="1:5" ht="22.2" customHeight="1" x14ac:dyDescent="0.4">
      <c r="A1" s="23" t="s">
        <v>128</v>
      </c>
      <c r="B1" s="23"/>
      <c r="E1" s="9" t="s">
        <v>129</v>
      </c>
    </row>
    <row r="3" spans="1:5" ht="43.8" customHeight="1" x14ac:dyDescent="0.3">
      <c r="A3" s="6" t="s">
        <v>121</v>
      </c>
      <c r="B3" t="s">
        <v>123</v>
      </c>
      <c r="E3" s="25"/>
    </row>
    <row r="4" spans="1:5" x14ac:dyDescent="0.3">
      <c r="A4" s="7" t="s">
        <v>124</v>
      </c>
      <c r="B4">
        <v>11587</v>
      </c>
      <c r="E4" s="25"/>
    </row>
    <row r="5" spans="1:5" x14ac:dyDescent="0.3">
      <c r="A5" s="7" t="s">
        <v>125</v>
      </c>
      <c r="B5">
        <v>10480</v>
      </c>
      <c r="E5" s="25"/>
    </row>
    <row r="6" spans="1:5" x14ac:dyDescent="0.3">
      <c r="A6" s="7" t="s">
        <v>126</v>
      </c>
      <c r="B6">
        <v>12311</v>
      </c>
      <c r="E6" s="25"/>
    </row>
    <row r="7" spans="1:5" x14ac:dyDescent="0.3">
      <c r="A7" s="7" t="s">
        <v>127</v>
      </c>
      <c r="B7">
        <v>5456</v>
      </c>
      <c r="E7" s="25"/>
    </row>
    <row r="8" spans="1:5" x14ac:dyDescent="0.3">
      <c r="A8" s="7" t="s">
        <v>122</v>
      </c>
      <c r="B8">
        <v>39834</v>
      </c>
      <c r="E8" s="25"/>
    </row>
    <row r="11" spans="1:5" ht="24" customHeight="1" x14ac:dyDescent="0.4">
      <c r="A11" s="24" t="s">
        <v>130</v>
      </c>
      <c r="B11" s="24"/>
    </row>
    <row r="13" spans="1:5" ht="27.6" customHeight="1" x14ac:dyDescent="0.3">
      <c r="A13" s="6" t="s">
        <v>121</v>
      </c>
      <c r="B13" t="s">
        <v>123</v>
      </c>
      <c r="C13" t="s">
        <v>135</v>
      </c>
    </row>
    <row r="14" spans="1:5" ht="26.4" customHeight="1" x14ac:dyDescent="0.3">
      <c r="A14" s="7" t="s">
        <v>131</v>
      </c>
      <c r="B14">
        <v>65094</v>
      </c>
      <c r="C14" s="5">
        <v>19528.2</v>
      </c>
    </row>
    <row r="15" spans="1:5" ht="25.8" customHeight="1" x14ac:dyDescent="0.3">
      <c r="A15" s="7" t="s">
        <v>132</v>
      </c>
      <c r="B15">
        <v>39834</v>
      </c>
      <c r="C15" s="5">
        <v>11950.2</v>
      </c>
    </row>
    <row r="16" spans="1:5" ht="25.2" customHeight="1" x14ac:dyDescent="0.3">
      <c r="A16" s="7" t="s">
        <v>133</v>
      </c>
      <c r="B16">
        <v>87965</v>
      </c>
      <c r="C16" s="5">
        <v>26389.5</v>
      </c>
    </row>
    <row r="17" spans="1:3" ht="21" customHeight="1" x14ac:dyDescent="0.3">
      <c r="A17" s="7" t="s">
        <v>134</v>
      </c>
      <c r="B17">
        <v>64514</v>
      </c>
      <c r="C17" s="5">
        <v>19354.2</v>
      </c>
    </row>
    <row r="18" spans="1:3" ht="25.8" customHeight="1" x14ac:dyDescent="0.3">
      <c r="A18" s="7" t="s">
        <v>122</v>
      </c>
      <c r="B18">
        <v>257407</v>
      </c>
      <c r="C18" s="5">
        <v>77222.100000000006</v>
      </c>
    </row>
    <row r="26" spans="1:3" ht="21" x14ac:dyDescent="0.4">
      <c r="A26" s="26" t="s">
        <v>140</v>
      </c>
      <c r="B26" s="26"/>
    </row>
    <row r="28" spans="1:3" ht="26.4" customHeight="1" x14ac:dyDescent="0.3">
      <c r="A28" s="6" t="s">
        <v>121</v>
      </c>
      <c r="B28" t="s">
        <v>123</v>
      </c>
    </row>
    <row r="29" spans="1:3" ht="22.2" customHeight="1" x14ac:dyDescent="0.3">
      <c r="A29" s="7" t="s">
        <v>136</v>
      </c>
      <c r="B29">
        <v>34878</v>
      </c>
    </row>
    <row r="30" spans="1:3" ht="25.2" customHeight="1" x14ac:dyDescent="0.3">
      <c r="A30" s="7" t="s">
        <v>137</v>
      </c>
      <c r="B30">
        <v>76041</v>
      </c>
    </row>
    <row r="31" spans="1:3" ht="23.4" customHeight="1" x14ac:dyDescent="0.3">
      <c r="A31" s="7" t="s">
        <v>138</v>
      </c>
      <c r="B31">
        <v>92265</v>
      </c>
    </row>
    <row r="32" spans="1:3" ht="22.2" customHeight="1" x14ac:dyDescent="0.3">
      <c r="A32" s="7" t="s">
        <v>139</v>
      </c>
      <c r="B32">
        <v>54223</v>
      </c>
    </row>
    <row r="33" spans="1:5" ht="19.8" customHeight="1" x14ac:dyDescent="0.3">
      <c r="A33" s="7" t="s">
        <v>122</v>
      </c>
      <c r="B33">
        <v>257407</v>
      </c>
    </row>
    <row r="39" spans="1:5" x14ac:dyDescent="0.3">
      <c r="A39" s="27" t="s">
        <v>141</v>
      </c>
      <c r="B39" s="27"/>
      <c r="C39" s="8"/>
      <c r="D39" s="8"/>
      <c r="E39" s="8"/>
    </row>
    <row r="41" spans="1:5" ht="28.2" customHeight="1" x14ac:dyDescent="0.3">
      <c r="A41" s="6" t="s">
        <v>121</v>
      </c>
      <c r="B41" t="s">
        <v>123</v>
      </c>
    </row>
    <row r="42" spans="1:5" ht="29.4" customHeight="1" x14ac:dyDescent="0.3">
      <c r="A42" s="7" t="s">
        <v>143</v>
      </c>
      <c r="B42">
        <v>74921</v>
      </c>
    </row>
    <row r="43" spans="1:5" ht="29.4" customHeight="1" x14ac:dyDescent="0.3">
      <c r="A43" s="7" t="s">
        <v>145</v>
      </c>
      <c r="B43">
        <v>70894</v>
      </c>
    </row>
    <row r="44" spans="1:5" ht="29.4" customHeight="1" x14ac:dyDescent="0.3">
      <c r="A44" s="7" t="s">
        <v>144</v>
      </c>
      <c r="B44">
        <v>62399</v>
      </c>
    </row>
    <row r="45" spans="1:5" ht="28.8" customHeight="1" x14ac:dyDescent="0.3">
      <c r="A45" s="7" t="s">
        <v>142</v>
      </c>
      <c r="B45">
        <v>49193</v>
      </c>
    </row>
    <row r="46" spans="1:5" ht="32.4" customHeight="1" x14ac:dyDescent="0.3">
      <c r="A46" s="7" t="s">
        <v>122</v>
      </c>
      <c r="B46">
        <v>257407</v>
      </c>
    </row>
  </sheetData>
  <mergeCells count="5">
    <mergeCell ref="A1:B1"/>
    <mergeCell ref="A11:B11"/>
    <mergeCell ref="E3:E8"/>
    <mergeCell ref="A26:B26"/>
    <mergeCell ref="A39:B39"/>
  </mergeCells>
  <pageMargins left="0.7" right="0.7" top="0.75" bottom="0.75" header="0.3" footer="0.3"/>
  <drawing r:id="rId5"/>
  <extLst>
    <ext xmlns:x14="http://schemas.microsoft.com/office/spreadsheetml/2009/9/main" uri="{05C60535-1F16-4fd2-B633-F4F36F0B64E0}">
      <x14:sparklineGroups xmlns:xm="http://schemas.microsoft.com/office/excel/2006/main">
        <x14:sparklineGroup displayEmptyCellsAs="gap" xr2:uid="{262BCA3F-1CE0-4BD9-BC6F-81E57FDDF3EB}">
          <x14:colorSeries rgb="FF00B050"/>
          <x14:colorNegative rgb="FFFF0000"/>
          <x14:colorAxis rgb="FF000000"/>
          <x14:colorMarkers rgb="FF0070C0"/>
          <x14:colorFirst rgb="FFFFC000"/>
          <x14:colorLast rgb="FFFFC000"/>
          <x14:colorHigh rgb="FF00B050"/>
          <x14:colorLow rgb="FFFF0000"/>
          <x14:sparklines>
            <x14:sparkline>
              <xm:f>Dashboard!E5:E104</xm:f>
              <xm:sqref>H3</xm:sqref>
            </x14:sparkline>
            <x14:sparkline>
              <xm:f>Dashboard!F4:F103</xm:f>
              <xm:sqref>I3</xm:sqref>
            </x14:sparkline>
            <x14:sparkline>
              <xm:f>Dashboard!G4:G103</xm:f>
              <xm:sqref>J3</xm:sqref>
            </x14:sparkline>
          </x14:sparklines>
        </x14:sparklineGroup>
        <x14:sparklineGroup displayEmptyCellsAs="gap" xr2:uid="{B230B734-9CB7-406A-80CF-1D863846B71B}">
          <x14:colorSeries rgb="FF00B050"/>
          <x14:colorNegative rgb="FFFF0000"/>
          <x14:colorAxis rgb="FF000000"/>
          <x14:colorMarkers rgb="FF0070C0"/>
          <x14:colorFirst rgb="FFFFC000"/>
          <x14:colorLast rgb="FFFFC000"/>
          <x14:colorHigh rgb="FF00B050"/>
          <x14:colorLow rgb="FFFF0000"/>
          <x14:sparklines>
            <x14:sparkline>
              <xm:sqref>D3</xm:sqref>
            </x14:sparkline>
          </x14:sparklines>
        </x14:sparklineGroup>
        <x14:sparklineGroup displayEmptyCellsAs="gap" xr2:uid="{0D166F72-ED21-49E4-8122-B28C0C44E5BA}">
          <x14:colorSeries rgb="FF376092"/>
          <x14:colorNegative rgb="FFD00000"/>
          <x14:colorAxis rgb="FF000000"/>
          <x14:colorMarkers rgb="FFD00000"/>
          <x14:colorFirst rgb="FFD00000"/>
          <x14:colorLast rgb="FFD00000"/>
          <x14:colorHigh rgb="FFD00000"/>
          <x14:colorLow rgb="FFD00000"/>
          <x14:sparklines>
            <x14:sparkline>
              <xm:f>Dashboard!B4:B7</xm:f>
              <xm:sqref>E3</xm:sqref>
            </x14:sparkline>
          </x14:sparklines>
        </x14:sparklineGroup>
      </x14:sparklineGroups>
    </ex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Sales Data Set</vt:lpstr>
      <vt:lpstr>KPI_calculation</vt:lpstr>
      <vt:lpstr>Dashboard</vt:lpstr>
      <vt:lpstr>Order_ID</vt:lpstr>
      <vt:lpstr>Profit</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Manjesh Kushwaha</dc:creator>
  <cp:lastModifiedBy>Manjesh Kushwaha</cp:lastModifiedBy>
  <dcterms:created xsi:type="dcterms:W3CDTF">2026-02-22T04:55:08Z</dcterms:created>
  <dcterms:modified xsi:type="dcterms:W3CDTF">2026-02-24T07:01:14Z</dcterms:modified>
</cp:coreProperties>
</file>